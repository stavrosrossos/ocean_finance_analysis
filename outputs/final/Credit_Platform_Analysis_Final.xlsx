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2ff99010cf4929" /></Relationships>
</file>

<file path=xl/workbook.xml><?xml version="1.0" encoding="utf-8"?>
<x:workbook xmlns:x="http://schemas.openxmlformats.org/spreadsheetml/2006/main">
  <x:sheets>
    <x:sheet xmlns:r="http://schemas.openxmlformats.org/officeDocument/2006/relationships" name="1. Summary" sheetId="1" r:id="R19dff9fde1724674"/>
    <x:sheet xmlns:r="http://schemas.openxmlformats.org/officeDocument/2006/relationships" name="2. Panel Baseline" sheetId="2" r:id="Rd3a60f29c7ec434c"/>
    <x:sheet xmlns:r="http://schemas.openxmlformats.org/officeDocument/2006/relationships" name="3. Card Performance" sheetId="3" r:id="Rc4b65c7fb0ef44a6"/>
    <x:sheet xmlns:r="http://schemas.openxmlformats.org/officeDocument/2006/relationships" name="4. Card29 Context" sheetId="4" r:id="R3c6cfb2822914f09"/>
    <x:sheet xmlns:r="http://schemas.openxmlformats.org/officeDocument/2006/relationships" name="5. Intervention Population" sheetId="5" r:id="Re006cc732b7042a1"/>
    <x:sheet xmlns:r="http://schemas.openxmlformats.org/officeDocument/2006/relationships" name="6. Redistribution Model" sheetId="6" r:id="R4b4a7a195b454235"/>
    <x:sheet xmlns:r="http://schemas.openxmlformats.org/officeDocument/2006/relationships" name="7. Break-even Sensitivity" sheetId="7" r:id="R0aa2c561b8724228"/>
    <x:sheet xmlns:r="http://schemas.openxmlformats.org/officeDocument/2006/relationships" name="8. Methodology" sheetId="8" r:id="R0998ed92e7a24cab"/>
  </x:sheets>
</x:workbook>
</file>

<file path=xl/sharedStrings.xml><?xml version="1.0" encoding="utf-8"?>
<x:sst xmlns:x="http://schemas.openxmlformats.org/spreadsheetml/2006/main">
  <x:si>
    <x:t xml:space="preserve">total_applications</x:t>
  </x:si>
  <x:si>
    <x:t xml:space="preserve">total_offers</x:t>
  </x:si>
  <x:si>
    <x:t xml:space="preserve">applications_with_click</x:t>
  </x:si>
  <x:si>
    <x:t xml:space="preserve">total_clicks</x:t>
  </x:si>
  <x:si>
    <x:t xml:space="preserve">total_sales</x:t>
  </x:si>
  <x:si>
    <x:t xml:space="preserve">total_revenue</x:t>
  </x:si>
  <x:si>
    <x:t xml:space="preserve">application_clickout_rate</x:t>
  </x:si>
  <x:si>
    <x:t xml:space="preserve">offer_click_through_rate</x:t>
  </x:si>
  <x:si>
    <x:t xml:space="preserve">click_to_sale_rate</x:t>
  </x:si>
  <x:si>
    <x:t xml:space="preserve">revenue_per_click</x:t>
  </x:si>
  <x:si>
    <x:t xml:space="preserve">revenue_per_application</x:t>
  </x:si>
  <x:si>
    <x:t xml:space="preserve">sales_per_100_applications</x:t>
  </x:si>
  <x:si>
    <x:t xml:space="preserve">card_id</x:t>
  </x:si>
  <x:si>
    <x:t xml:space="preserve">offers</x:t>
  </x:si>
  <x:si>
    <x:t xml:space="preserve">clicks</x:t>
  </x:si>
  <x:si>
    <x:t xml:space="preserve">click_through_rate</x:t>
  </x:si>
  <x:si>
    <x:t xml:space="preserve">sales</x:t>
  </x:si>
  <x:si>
    <x:t xml:space="preserve">revenue</x:t>
  </x:si>
  <x:si>
    <x:t xml:space="preserve">revenue_per_offer</x:t>
  </x:si>
  <x:si>
    <x:t xml:space="preserve">revenue_per_sale</x:t>
  </x:si>
  <x:si>
    <x:t xml:space="preserve">avg_apr</x:t>
  </x:si>
  <x:si>
    <x:t xml:space="preserve">avg_likelihood</x:t>
  </x:si>
  <x:si>
    <x:t xml:space="preserve">avg_apr_rank</x:t>
  </x:si>
  <x:si>
    <x:t xml:space="preserve">avg_likelihood_rank</x:t>
  </x:si>
  <x:si>
    <x:t xml:space="preserve">Card 29</x:t>
  </x:si>
  <x:si>
    <x:t xml:space="preserve">Card 30</x:t>
  </x:si>
  <x:si>
    <x:t xml:space="preserve">Card 7</x:t>
  </x:si>
  <x:si>
    <x:t xml:space="preserve">Card 9</x:t>
  </x:si>
  <x:si>
    <x:t xml:space="preserve">Card 23</x:t>
  </x:si>
  <x:si>
    <x:t xml:space="preserve">Card 4</x:t>
  </x:si>
  <x:si>
    <x:t xml:space="preserve">Card 31</x:t>
  </x:si>
  <x:si>
    <x:t xml:space="preserve">Card 24</x:t>
  </x:si>
  <x:si>
    <x:t xml:space="preserve">Card 8</x:t>
  </x:si>
  <x:si>
    <x:t xml:space="preserve">Card 2</x:t>
  </x:si>
  <x:si>
    <x:t xml:space="preserve">Card 25</x:t>
  </x:si>
  <x:si>
    <x:t xml:space="preserve">Card 14</x:t>
  </x:si>
  <x:si>
    <x:t xml:space="preserve">Card 10</x:t>
  </x:si>
  <x:si>
    <x:t xml:space="preserve">Card 15</x:t>
  </x:si>
  <x:si>
    <x:t xml:space="preserve">Card 22</x:t>
  </x:si>
  <x:si>
    <x:t xml:space="preserve">Card 3</x:t>
  </x:si>
  <x:si>
    <x:t xml:space="preserve">Card 18</x:t>
  </x:si>
  <x:si>
    <x:t xml:space="preserve">Card 1</x:t>
  </x:si>
  <x:si>
    <x:t xml:space="preserve">Card 6</x:t>
  </x:si>
  <x:si>
    <x:t xml:space="preserve">Card 11</x:t>
  </x:si>
  <x:si>
    <x:t xml:space="preserve">Card 12</x:t>
  </x:si>
  <x:si>
    <x:t xml:space="preserve">Card 27</x:t>
  </x:si>
  <x:si>
    <x:t xml:space="preserve">Card 16</x:t>
  </x:si>
  <x:si>
    <x:t xml:space="preserve">Card 17</x:t>
  </x:si>
  <x:si>
    <x:t xml:space="preserve">Card 5</x:t>
  </x:si>
  <x:si>
    <x:t xml:space="preserve">Card 20</x:t>
  </x:si>
  <x:si>
    <x:t xml:space="preserve">Card 28</x:t>
  </x:si>
  <x:si>
    <x:t xml:space="preserve">Card 19</x:t>
  </x:si>
  <x:si>
    <x:t xml:space="preserve">Card 26</x:t>
  </x:si>
  <x:si>
    <x:t xml:space="preserve">Card 21</x:t>
  </x:si>
  <x:si>
    <x:t xml:space="preserve">Card 13</x:t>
  </x:si>
  <x:si>
    <x:t xml:space="preserve">Card 34</x:t>
  </x:si>
  <x:si>
    <x:t xml:space="preserve">Card 33</x:t>
  </x:si>
  <x:si>
    <x:t xml:space="preserve">Card 32</x:t>
  </x:si>
  <x:si>
    <x:t xml:space="preserve">competitor_card</x:t>
  </x:si>
  <x:si>
    <x:t xml:space="preserve">applications_together</x:t>
  </x:si>
  <x:si>
    <x:t xml:space="preserve">card29_clicks</x:t>
  </x:si>
  <x:si>
    <x:t xml:space="preserve">competitor_clicks</x:t>
  </x:si>
  <x:si>
    <x:t xml:space="preserve">card29_click_rate</x:t>
  </x:si>
  <x:si>
    <x:t xml:space="preserve">competitor_click_rate</x:t>
  </x:si>
  <x:si>
    <x:t xml:space="preserve">click_rate_multiple</x:t>
  </x:si>
  <x:si>
    <x:t xml:space="preserve">same_likelihood_rate</x:t>
  </x:si>
  <x:si>
    <x:t xml:space="preserve">card29_higher_likelihood_rate</x:t>
  </x:si>
  <x:si>
    <x:t xml:space="preserve">card29_lower_apr_rate</x:t>
  </x:si>
  <x:si>
    <x:t xml:space="preserve">Conditional Card 29 Intervention Population</x:t>
  </x:si>
  <x:si>
    <x:t xml:space="preserve">Card 29 is retained when it is the applicant's only offer and suppressed only where alternatives exist.</x:t>
  </x:si>
  <x:si>
    <x:t xml:space="preserve">CARD 29 CLICKERS</x:t>
  </x:si>
  <x:si>
    <x:t xml:space="preserve">SUPPRESS WHEN ALTERNATIVE EXISTS</x:t>
  </x:si>
  <x:si>
    <x:t xml:space="preserve">SHARE AFFECTED</x:t>
  </x:si>
  <x:si>
    <x:t xml:space="preserve">RETAIN AS SOLE OFFER</x:t>
  </x:si>
  <x:si>
    <x:t xml:space="preserve">Interpretation: 315 of 398 Card 29 clickers (79.1%) had at least one alternative. The remaining 83 had no alternative, so Card 29 cannot be diverting them from another offer and is retained under the practical intervention.</x:t>
  </x:si>
  <x:si>
    <x:t xml:space="preserve">Alternatives after suppressing Card 29</x:t>
  </x:si>
  <x:si>
    <x:t xml:space="preserve">Number of cards tied at likelihood rank 1</x:t>
  </x:si>
  <x:si>
    <x:t xml:space="preserve">alternative_count</x:t>
  </x:si>
  <x:si>
    <x:t xml:space="preserve">applications</x:t>
  </x:si>
  <x:si>
    <x:t xml:space="preserve">share</x:t>
  </x:si>
  <x:si>
    <x:t xml:space="preserve">number_of_rank1_cards</x:t>
  </x:si>
  <x:si>
    <x:t xml:space="preserve">61.3% of affected applicants have more than one card tied at likelihood rank 1 after suppression. Therefore a deterministic 'next-best card' assumption is not appropriate for most affected customers.</x:t>
  </x:si>
  <x:si>
    <x:t xml:space="preserve">Empirically Anchored Redistribution Model</x:t>
  </x:si>
  <x:si>
    <x:t xml:space="preserve">Post-suppression likelihood ranks are recomputed and matched to historical Card-29-absent behaviour.</x:t>
  </x:si>
  <x:si>
    <x:t xml:space="preserve">AFFECTED APPLICANTS</x:t>
  </x:si>
  <x:si>
    <x:t xml:space="preserve">EMPIRICALLY SUPPORTED</x:t>
  </x:si>
  <x:si>
    <x:t xml:space="preserve">SUPPORTED SHARE</x:t>
  </x:si>
  <x:si>
    <x:t xml:space="preserve">RESIDUAL SENSITIVITY</x:t>
  </x:si>
  <x:si>
    <x:t xml:space="preserve">For 282 of 315 affected applicants (89.5%), the post-suppression rank-1 card set had at least 10 historical Card-29-absent observations. Likelihood rank 1 captured 95.6% of historical clicks, so redistribution is anchored to observed top-ranked-card behaviour rather than assuming customers always transfer.</x:t>
  </x:si>
  <x:si>
    <x:t xml:space="preserve">EXPECTED REPLACEMENT CLICKS</x:t>
  </x:si>
  <x:si>
    <x:t xml:space="preserve">EXPECTED SALES</x:t>
  </x:si>
  <x:si>
    <x:t xml:space="preserve">EXPECTED REVENUE</x:t>
  </x:si>
  <x:si>
    <x:t xml:space="preserve">MODELED POPULATION</x:t>
  </x:si>
  <x:si>
    <x:t xml:space="preserve">Expected redistribution by destination card</x:t>
  </x:si>
  <x:si>
    <x:t xml:space="preserve">card</x:t>
  </x:si>
  <x:si>
    <x:t xml:space="preserve">expected_clicks</x:t>
  </x:si>
  <x:si>
    <x:t xml:space="preserve">observed_conversion</x:t>
  </x:si>
  <x:si>
    <x:t xml:space="preserve">expected_sales</x:t>
  </x:si>
  <x:si>
    <x:t xml:space="preserve">expected_revenue</x:t>
  </x:si>
  <x:si>
    <x:t xml:space="preserve">Model scope: the expected click/sales/revenue figures above cover only the 282 empirically supported applicants. The remaining 33 are excluded from the point estimate and handled through sensitivity analysis. Lower-ranked clicks are also excluded because lower-card availability differs across otherwise comparable panels; they represented only 4.4% of historical clicks.</x:t>
  </x:si>
  <x:si>
    <x:t xml:space="preserve">Conditional Suppression Break-even Sensitivity</x:t>
  </x:si>
  <x:si>
    <x:t xml:space="preserve">Residual transfer rate</x:t>
  </x:si>
  <x:si>
    <x:t xml:space="preserve">0 retained sales</x:t>
  </x:si>
  <x:si>
    <x:t xml:space="preserve">10 retained sales</x:t>
  </x:si>
  <x:si>
    <x:t xml:space="preserve">13 retained sales</x:t>
  </x:si>
  <x:si>
    <x:t xml:space="preserve">15 retained sales</x:t>
  </x:si>
  <x:si>
    <x:t xml:space="preserve">Break-even depends on the two behaviours that cannot be observed directly from the supplied card-level sales data.</x:t>
  </x:si>
  <x:si>
    <x:t xml:space="preserve">SUPPORTED REPLACEMENT REVENUE</x:t>
  </x:si>
  <x:si>
    <x:t xml:space="preserve">RESIDUAL 33: 100% TRANSFER REVENUE</x:t>
  </x:si>
  <x:si>
    <x:t xml:space="preserve">MIN RETAINED SALES FOR BREAK-EVEN TO BE POSSIBLE</x:t>
  </x:si>
  <x:si>
    <x:t xml:space="preserve">RETAINED SALES FOR SUPPORTED 282 ALONE TO BREAK EVEN</x:t>
  </x:si>
  <x:si>
    <x:t xml:space="preserve">Illustrative proportional reference: if the 83 retained Card 29 clickers converted at Card 29's overall observed rate, they would account for about 13 sales. At 13 retained sales (£572 retained revenue), the residual 33 need approximately 14.2% transfer to break even. This is an illustrative assumption for sensitivity context, not an observed subgroup result.</x:t>
  </x:si>
  <x:si>
    <x:t xml:space="preserve">Key break-even reference points</x:t>
  </x:si>
  <x:si>
    <x:t xml:space="preserve">retained_card29_sales</x:t>
  </x:si>
  <x:si>
    <x:t xml:space="preserve">retained_card29_revenue</x:t>
  </x:si>
  <x:si>
    <x:t xml:space="preserve">affected_revenue_to_replace</x:t>
  </x:si>
  <x:si>
    <x:t xml:space="preserve">required_residual_transfer</x:t>
  </x:si>
  <x:si>
    <x:t xml:space="preserve">How to read the sensitivity: rows represent the unknown number of Card 29 sales generated by the 83 customers who keep Card 29; columns represent the transfer rate among the residual 33 applicants. Green cells indicate modeled revenue above the current affected Card 29 baseline; red cells indicate below baseline.</x:t>
  </x:si>
  <x:si>
    <x:t xml:space="preserve">Full sensitivity matrix — revenue change vs current affected Card 29 baseline</x:t>
  </x:si>
  <x:si>
    <x:t xml:space="preserve">retained_sales</x:t>
  </x:si>
  <x:si>
    <x:t xml:space="preserve">0%</x:t>
  </x:si>
  <x:si>
    <x:t xml:space="preserve">10%</x:t>
  </x:si>
  <x:si>
    <x:t xml:space="preserve">20%</x:t>
  </x:si>
  <x:si>
    <x:t xml:space="preserve">30%</x:t>
  </x:si>
  <x:si>
    <x:t xml:space="preserve">40%</x:t>
  </x:si>
  <x:si>
    <x:t xml:space="preserve">50%</x:t>
  </x:si>
  <x:si>
    <x:t xml:space="preserve">60%</x:t>
  </x:si>
  <x:si>
    <x:t xml:space="preserve">70%</x:t>
  </x:si>
  <x:si>
    <x:t xml:space="preserve">80%</x:t>
  </x:si>
  <x:si>
    <x:t xml:space="preserve">90%</x:t>
  </x:si>
  <x:si>
    <x:t xml:space="preserve">100%</x:t>
  </x:si>
  <x:si>
    <x:t xml:space="preserve">Residual 33 ceiling: if all 33 transfer once, their modelled destination-card economics imply £397.06 revenue and 10.27 sales. The sensitivity analysis does not claim an exact transfer rate for these sparse states.</x:t>
  </x:si>
  <x:si>
    <x:t xml:space="preserve">Analysis Approach &amp; Assumptions</x:t>
  </x:si>
  <x:si>
    <x:t xml:space="preserve">Observed panel diagnosis followed by a conditional Card 29 counterfactual.</x:t>
  </x:si>
  <x:si>
    <x:t xml:space="preserve">1. Business question</x:t>
  </x:si>
  <x:si>
    <x:t xml:space="preserve">The supplied data were used to assess whether any card appears to harm panel performance. Card 29 was identified as the strongest intervention candidate because it attracts substantial click volume while monetising weakly downstream. The final intervention is conditional rather than panel-wide: retain Card 29 when it is the only offer; suppress/deprioritise it when another offer exists.</x:t>
  </x:si>
  <x:si>
    <x:t xml:space="preserve">2. Observed analysis</x:t>
  </x:si>
  <x:si>
    <x:t xml:space="preserve">Panel and card metrics are calculated directly from the supplied quote and sales data. Same-application comparisons are used to understand Card 29's competitive context. The observed diagnosis does not assume causality: stronger click attraction combined with weaker downstream conversion creates a plausible diversion risk, not proof that every Card 29 click would move elsewhere if the card were suppressed.</x:t>
  </x:si>
  <x:si>
    <x:t xml:space="preserve">3. Conditional counterfactual</x:t>
  </x:si>
  <x:si>
    <x:t xml:space="preserve">A</x:t>
  </x:si>
  <x:si>
    <x:t xml:space="preserve">Identify population</x:t>
  </x:si>
  <x:si>
    <x:t xml:space="preserve">398 Card 29 clickers → retain for 83 sole-offer applicants; suppress for 315 with ≥1 alternative.</x:t>
  </x:si>
  <x:si>
    <x:t xml:space="preserve">B</x:t>
  </x:si>
  <x:si>
    <x:t xml:space="preserve">Recompute ranking</x:t>
  </x:si>
  <x:si>
    <x:t xml:space="preserve">Remove Card 29 from affected applications and recompute likelihood/APR ranks using the supplied competition/min ranking convention.</x:t>
  </x:si>
  <x:si>
    <x:t xml:space="preserve">C</x:t>
  </x:si>
  <x:si>
    <x:t xml:space="preserve">Historical behavioural anchor</x:t>
  </x:si>
  <x:si>
    <x:t xml:space="preserve">Use applications where Card 29 was absent to observe click/no-click behaviour for the same post-suppression rank-1 card set.</x:t>
  </x:si>
  <x:si>
    <x:t xml:space="preserve">D</x:t>
  </x:si>
  <x:si>
    <x:t xml:space="preserve">Support threshold</x:t>
  </x:si>
  <x:si>
    <x:t xml:space="preserve">Rank-1 states with ≥10 historical applications are treated as empirically supported: 282/315 affected applicants (89.5%).</x:t>
  </x:si>
  <x:si>
    <x:t xml:space="preserve">E</x:t>
  </x:si>
  <x:si>
    <x:t xml:space="preserve">Point estimate</x:t>
  </x:si>
  <x:si>
    <x:t xml:space="preserve">For supported states, estimate destination-card clicks from historical behaviour, then apply each destination card's observed click→sale conversion and revenue/click.</x:t>
  </x:si>
  <x:si>
    <x:t xml:space="preserve">F</x:t>
  </x:si>
  <x:si>
    <x:t xml:space="preserve">Residual uncertainty</x:t>
  </x:si>
  <x:si>
    <x:t xml:space="preserve">The remaining 33 sparse-state applicants are not point-estimated; their transfer rate is sensitivity-tested.</x:t>
  </x:si>
  <x:si>
    <x:t xml:space="preserve">G</x:t>
  </x:si>
  <x:si>
    <x:t xml:space="preserve">Break-even</x:t>
  </x:si>
  <x:si>
    <x:t xml:space="preserve">Because Card 29 sales are only available at card level, retained Card 29 sales among the 83 sole-offer users are also sensitivity-tested.</x:t>
  </x:si>
  <x:si>
    <x:t xml:space="preserve">4. Key assumptions / limitations</x:t>
  </x:si>
  <x:si>
    <x:t xml:space="preserve">• Sales and revenue are supplied only at card level, not application level. Therefore Card 29's 63 sales cannot be directly split between the 83 retained sole-offer clickers and the 315 affected clickers.
• A redirected click is assumed to monetise at the destination card's observed overall click→sale conversion and revenue/click.
• Historical redistribution is anchored to the post-suppression likelihood-rank-1 card set. Lower-ranked clicks are excluded from the point estimate because lower-card availability differs across otherwise comparable panels; they represented 4.4% of historical clicks.
• Counterfactual outputs are modelled estimates, not causal measurements of what will happen after a product change.</x:t>
  </x:si>
  <x:si>
    <x:t xml:space="preserve">5. Decision use</x:t>
  </x:si>
  <x:si>
    <x:t xml:space="preserve">The analysis supports a controlled conditional suppression/deprioritisation test rather than immediate permanent removal. Primary KPI: revenue per application. Secondary monitoring: sales/application, application clickout rate, click→sale conversion and redistribution across remaining cards. The break-even matrix shows the range of outcomes consistent with the two behaviours that are not observable directly in the supplied data.</x:t>
  </x:si>
</x:sst>
</file>

<file path=xl/styles.xml><?xml version="1.0" encoding="utf-8"?>
<x:styleSheet xmlns:x="http://schemas.openxmlformats.org/spreadsheetml/2006/main">
  <x:numFmts count="6">
    <x:numFmt numFmtId="164" formatCode="\£#,##0.00;[Red]\-\£#,##0.00"/>
    <x:numFmt numFmtId="165" formatCode="0.0%"/>
    <x:numFmt numFmtId="166" formatCode="0.00&quot;x&quot;"/>
    <x:numFmt numFmtId="167" formatCode="\+\£#,##0;[Red]\-\£#,##0;\£0"/>
    <x:numFmt numFmtId="200" formatCode="0"/>
    <x:numFmt numFmtId="201" formatCode="£0.00"/>
  </x:numFmts>
  <x:fonts count="22">
    <x:font>
      <x:sz val="11"/>
      <x:color theme="1"/>
      <x:name val="Calibri"/>
    </x:font>
    <x:font>
      <x:b/>
      <x:sz val="20"/>
      <x:color rgb="FFFFFFFF"/>
      <x:name val="Calibri"/>
    </x:font>
    <x:font>
      <x:sz val="9"/>
      <x:color rgb="FF1F2937"/>
      <x:name val="Calibri"/>
    </x:font>
    <x:font>
      <x:b/>
      <x:sz val="11"/>
      <x:color rgb="FFFFFFFF"/>
      <x:name val="Calibri"/>
    </x:font>
    <x:font>
      <x:i/>
      <x:sz val="10"/>
      <x:color rgb="FF5F6B76"/>
      <x:name val="Calibri"/>
    </x:font>
    <x:font>
      <x:b/>
      <x:sz val="9"/>
      <x:color rgb="FF0F5D75"/>
      <x:name val="Calibri"/>
    </x:font>
    <x:font>
      <x:b/>
      <x:sz val="16"/>
      <x:color rgb="FF1F2937"/>
      <x:name val="Calibri"/>
    </x:font>
    <x:font>
      <x:sz val="9"/>
      <x:color rgb="FF6B4E00"/>
      <x:name val="Calibri"/>
    </x:font>
    <x:font>
      <x:b/>
      <x:sz val="11"/>
      <x:color rgb="FF163A4A"/>
      <x:name val="Calibri"/>
    </x:font>
    <x:font>
      <x:sz val="9"/>
      <x:color rgb="FF176B3A"/>
      <x:name val="Calibri"/>
    </x:font>
    <x:font>
      <x:i/>
      <x:sz val="8"/>
      <x:color rgb="FF5F6B76"/>
      <x:name val="Calibri"/>
    </x:font>
    <x:font>
      <x:sz val="10"/>
      <x:color rgb="FF1F2937"/>
      <x:name val="Calibri"/>
    </x:font>
    <x:font>
      <x:b/>
      <x:sz val="22"/>
      <x:color rgb="FFFFFFFF"/>
      <x:name val="Calibri"/>
    </x:font>
    <x:font>
      <x:b/>
      <x:sz val="11"/>
      <x:color rgb="FF7A5A00"/>
      <x:name val="Calibri"/>
    </x:font>
    <x:font>
      <x:b/>
      <x:sz val="20"/>
      <x:color rgb="FF1F2937"/>
      <x:name val="Calibri"/>
    </x:font>
    <x:font>
      <x:sz val="9"/>
      <x:color rgb="FF5F6B76"/>
      <x:name val="Calibri"/>
    </x:font>
    <x:font>
      <x:b/>
      <x:sz val="20"/>
      <x:color rgb="FFA61B1B"/>
      <x:name val="Calibri"/>
    </x:font>
    <x:font>
      <x:b/>
      <x:sz val="12"/>
      <x:color rgb="FF0F5D75"/>
      <x:name val="Calibri"/>
    </x:font>
    <x:font>
      <x:b/>
      <x:sz val="10"/>
      <x:color rgb="FF225C2B"/>
      <x:name val="Calibri"/>
    </x:font>
    <x:font>
      <x:i/>
      <x:sz val="9"/>
      <x:color rgb="FF5F6B76"/>
      <x:name val="Calibri"/>
    </x:font>
    <x:font>
      <x:sz val="8"/>
      <x:color rgb="FF5F6B76"/>
      <x:name val="Calibri"/>
    </x:font>
    <x:font>
      <x:b/>
      <x:sz val="10"/>
      <x:color rgb="FF7A5A00"/>
      <x:name val="Calibri"/>
    </x:font>
  </x:fonts>
  <x:fills count="16">
    <x:fill>
      <x:patternFill patternType="none"/>
    </x:fill>
    <x:fill>
      <x:patternFill patternType="gray125"/>
    </x:fill>
    <x:fill>
      <x:patternFill patternType="solid">
        <x:fgColor rgb="FF0F5D75"/>
      </x:patternFill>
    </x:fill>
    <x:fill>
      <x:patternFill patternType="solid">
        <x:fgColor rgb="FFF3F4F6"/>
      </x:patternFill>
    </x:fill>
    <x:fill>
      <x:patternFill patternType="solid">
        <x:fgColor rgb="FFEAF4F8"/>
      </x:patternFill>
    </x:fill>
    <x:fill>
      <x:patternFill patternType="solid">
        <x:fgColor rgb="FFFFF2CC"/>
      </x:patternFill>
    </x:fill>
    <x:fill>
      <x:patternFill patternType="solid">
        <x:fgColor rgb="FFD9EAF2"/>
      </x:patternFill>
    </x:fill>
    <x:fill>
      <x:patternFill patternType="solid">
        <x:fgColor rgb="FF2F7E96"/>
      </x:patternFill>
    </x:fill>
    <x:fill>
      <x:patternFill patternType="solid">
        <x:fgColor rgb="FFE8F5E9"/>
      </x:patternFill>
    </x:fill>
    <x:fill>
      <x:patternFill patternType="solid">
        <x:fgColor rgb="FF0F5D75"/>
      </x:patternFill>
    </x:fill>
    <x:fill>
      <x:patternFill patternType="solid">
        <x:fgColor rgb="FFFFF2CC"/>
      </x:patternFill>
    </x:fill>
    <x:fill>
      <x:patternFill patternType="solid">
        <x:fgColor rgb="FFD9EAF2"/>
      </x:patternFill>
    </x:fill>
    <x:fill>
      <x:patternFill patternType="solid">
        <x:fgColor rgb="FFEAF4F8"/>
      </x:patternFill>
    </x:fill>
    <x:fill>
      <x:patternFill patternType="solid">
        <x:fgColor rgb="FFFCE8E8"/>
      </x:patternFill>
    </x:fill>
    <x:fill>
      <x:patternFill patternType="solid">
        <x:fgColor rgb="FFE8F5E9"/>
      </x:patternFill>
    </x:fill>
    <x:fill>
      <x:patternFill patternType="solid">
        <x:fgColor rgb="FFF3F4F6"/>
      </x:patternFill>
    </x:fill>
  </x:fills>
  <x:borders count="4">
    <x:border/>
    <x:border>
      <x:left style="thin">
        <x:color rgb="FFD7E3E8"/>
      </x:left>
      <x:right style="thin">
        <x:color rgb="FFD7E3E8"/>
      </x:right>
      <x:top style="thin">
        <x:color rgb="FFD7E3E8"/>
      </x:top>
      <x:bottom style="thin">
        <x:color rgb="FFD7E3E8"/>
      </x:bottom>
    </x:border>
    <x:border/>
    <x:border>
      <x:left style="thin">
        <x:color rgb="FFD7E3E8"/>
      </x:left>
      <x:right style="thin">
        <x:color rgb="FFD7E3E8"/>
      </x:right>
      <x:top style="thin">
        <x:color rgb="FFD7E3E8"/>
      </x:top>
      <x:bottom style="thin">
        <x:color rgb="FFD7E3E8"/>
      </x:bottom>
    </x:border>
  </x:borders>
  <x:cellStyleXfs count="1">
    <x:xf numFmtId="0" fontId="0" fillId="0" borderId="0"/>
  </x:cellStyleXfs>
  <x:cellXfs count="151">
    <x:xf numFmtId="0" fontId="0" fillId="0" borderId="0" xfId="0"/>
    <x:xf numFmtId="0" fontId="3" fillId="2" borderId="0" xfId="0" applyFont="1" applyFill="1" applyAlignment="1">
      <x:alignment horizontal="center" vertical="center" wrapText="1"/>
    </x:xf>
    <x:xf numFmtId="3" fontId="2" fillId="0" borderId="0" xfId="0" applyNumberFormat="1" applyFont="1" applyAlignment="1">
      <x:alignment horizontal="center"/>
    </x:xf>
    <x:xf numFmtId="164" fontId="2" fillId="0" borderId="0" xfId="0" applyNumberFormat="1" applyFont="1" applyAlignment="1">
      <x:alignment horizontal="center"/>
    </x:xf>
    <x:xf numFmtId="165" fontId="2" fillId="0" borderId="0" xfId="0" applyNumberFormat="1" applyFont="1" applyAlignment="1">
      <x:alignment horizontal="center"/>
    </x:xf>
    <x:xf numFmtId="166" fontId="2" fillId="0" borderId="0" xfId="0" applyNumberFormat="1" applyFont="1" applyAlignment="1">
      <x:alignment horizontal="center"/>
    </x:xf>
    <x:xf numFmtId="0" fontId="5" fillId="4" borderId="1" xfId="0" applyFont="1" applyFill="1" applyBorder="1" applyAlignment="1">
      <x:alignment horizontal="center" vertical="center" wrapText="1"/>
    </x:xf>
    <x:xf numFmtId="3" fontId="6" fillId="0" borderId="1" xfId="0" applyNumberFormat="1" applyFont="1" applyBorder="1" applyAlignment="1">
      <x:alignment horizontal="center" vertical="center"/>
    </x:xf>
    <x:xf numFmtId="165" fontId="6" fillId="0" borderId="1" xfId="0" applyNumberFormat="1" applyFont="1" applyBorder="1" applyAlignment="1">
      <x:alignment horizontal="center" vertical="center"/>
    </x:xf>
    <x:xf numFmtId="0" fontId="3" fillId="7" borderId="0" xfId="0" applyFont="1" applyFill="1" applyAlignment="1">
      <x:alignment horizontal="center" vertical="center" wrapText="1"/>
    </x:xf>
    <x:xf numFmtId="2" fontId="6" fillId="0" borderId="1" xfId="0" applyNumberFormat="1" applyFont="1" applyBorder="1" applyAlignment="1">
      <x:alignment horizontal="center" vertical="center"/>
    </x:xf>
    <x:xf numFmtId="164" fontId="6" fillId="0" borderId="1" xfId="0" applyNumberFormat="1" applyFont="1" applyBorder="1" applyAlignment="1">
      <x:alignment horizontal="center" vertical="center"/>
    </x:xf>
    <x:xf numFmtId="2" fontId="2" fillId="0" borderId="0" xfId="0" applyNumberFormat="1" applyFont="1" applyAlignment="1">
      <x:alignment horizontal="center"/>
    </x:xf>
    <x:xf numFmtId="167" fontId="2" fillId="0" borderId="0" xfId="0" applyNumberFormat="1" applyFont="1" applyAlignment="1">
      <x:alignment horizontal="center"/>
    </x:xf>
    <x:xf numFmtId="0" fontId="1" fillId="2" borderId="0" xfId="0" applyFont="1" applyFill="1" applyAlignment="1">
      <x:alignment vertical="center"/>
    </x:xf>
    <x:xf numFmtId="0" fontId="2" fillId="3" borderId="0" xfId="0" applyFont="1" applyFill="1" applyAlignment="1">
      <x:alignment vertical="center" wrapText="1"/>
    </x:xf>
    <x:xf numFmtId="0" fontId="4" fillId="0" borderId="0" xfId="0" applyFont="1"/>
    <x:xf numFmtId="0" fontId="7" fillId="5" borderId="0" xfId="0" applyFont="1" applyFill="1" applyAlignment="1">
      <x:alignment vertical="center" wrapText="1"/>
    </x:xf>
    <x:xf numFmtId="0" fontId="8" fillId="6" borderId="0" xfId="0" applyFont="1" applyFill="1" applyAlignment="1">
      <x:alignment vertical="center"/>
    </x:xf>
    <x:xf numFmtId="0" fontId="9" fillId="8" borderId="0" xfId="0" applyFont="1" applyFill="1" applyAlignment="1">
      <x:alignment vertical="center" wrapText="1"/>
    </x:xf>
    <x:xf numFmtId="0" fontId="10" fillId="0" borderId="0" xfId="0" applyFont="1"/>
    <x:xf numFmtId="0" fontId="11" fillId="0" borderId="0" xfId="0" applyFont="1" applyAlignment="1">
      <x:alignment vertical="top" wrapText="1"/>
    </x:xf>
    <x:xf numFmtId="0" fontId="0" fillId="0" borderId="2" xfId="0" applyNumberFormat="1" applyFont="1" applyFill="1" applyBorder="1"/>
    <x:xf numFmtId="0" fontId="3" fillId="2" borderId="2" xfId="0" applyNumberFormat="1" applyFont="1" applyFill="1" applyBorder="1" applyAlignment="1">
      <x:alignment horizontal="center" vertical="center" wrapText="1"/>
    </x:xf>
    <x:xf numFmtId="3" fontId="2" fillId="0" borderId="2" xfId="0" applyNumberFormat="1" applyFont="1" applyFill="1" applyBorder="1" applyAlignment="1">
      <x:alignment horizontal="center"/>
    </x:xf>
    <x:xf numFmtId="164" fontId="2" fillId="0" borderId="2" xfId="0" applyNumberFormat="1" applyFont="1" applyFill="1" applyBorder="1" applyAlignment="1">
      <x:alignment horizontal="center"/>
    </x:xf>
    <x:xf numFmtId="165" fontId="2" fillId="0" borderId="2" xfId="0" applyNumberFormat="1" applyFont="1" applyFill="1" applyBorder="1" applyAlignment="1">
      <x:alignment horizontal="center"/>
    </x:xf>
    <x:xf numFmtId="166" fontId="2" fillId="0" borderId="2" xfId="0" applyNumberFormat="1" applyFont="1" applyFill="1" applyBorder="1" applyAlignment="1">
      <x:alignment horizontal="center"/>
    </x:xf>
    <x:xf numFmtId="0" fontId="5" fillId="4" borderId="3" xfId="0" applyNumberFormat="1" applyFont="1" applyFill="1" applyBorder="1" applyAlignment="1">
      <x:alignment horizontal="center" vertical="center" wrapText="1"/>
    </x:xf>
    <x:xf numFmtId="3" fontId="6" fillId="0" borderId="3" xfId="0" applyNumberFormat="1" applyFont="1" applyFill="1" applyBorder="1" applyAlignment="1">
      <x:alignment horizontal="center" vertical="center"/>
    </x:xf>
    <x:xf numFmtId="165" fontId="6" fillId="0" borderId="3" xfId="0" applyNumberFormat="1" applyFont="1" applyFill="1" applyBorder="1" applyAlignment="1">
      <x:alignment horizontal="center" vertical="center"/>
    </x:xf>
    <x:xf numFmtId="0" fontId="3" fillId="7" borderId="2" xfId="0" applyNumberFormat="1" applyFont="1" applyFill="1" applyBorder="1" applyAlignment="1">
      <x:alignment horizontal="center" vertical="center" wrapText="1"/>
    </x:xf>
    <x:xf numFmtId="2" fontId="6" fillId="0" borderId="3" xfId="0" applyNumberFormat="1" applyFont="1" applyFill="1" applyBorder="1" applyAlignment="1">
      <x:alignment horizontal="center" vertical="center"/>
    </x:xf>
    <x:xf numFmtId="164" fontId="6" fillId="0" borderId="3" xfId="0" applyNumberFormat="1" applyFont="1" applyFill="1" applyBorder="1" applyAlignment="1">
      <x:alignment horizontal="center" vertical="center"/>
    </x:xf>
    <x:xf numFmtId="2" fontId="2" fillId="0" borderId="2" xfId="0" applyNumberFormat="1" applyFont="1" applyFill="1" applyBorder="1" applyAlignment="1">
      <x:alignment horizontal="center"/>
    </x:xf>
    <x:xf numFmtId="167" fontId="2" fillId="0" borderId="2" xfId="0" applyNumberFormat="1" applyFont="1" applyFill="1" applyBorder="1" applyAlignment="1">
      <x:alignment horizontal="center"/>
    </x:xf>
    <x:xf numFmtId="0" fontId="1" fillId="2" borderId="2" xfId="0" applyNumberFormat="1" applyFont="1" applyFill="1" applyBorder="1" applyAlignment="1">
      <x:alignment vertical="center"/>
    </x:xf>
    <x:xf numFmtId="0" fontId="2" fillId="3" borderId="2" xfId="0" applyNumberFormat="1" applyFont="1" applyFill="1" applyBorder="1" applyAlignment="1">
      <x:alignment vertical="center" wrapText="1"/>
    </x:xf>
    <x:xf numFmtId="0" fontId="4" fillId="0" borderId="2" xfId="0" applyNumberFormat="1" applyFont="1" applyFill="1" applyBorder="1"/>
    <x:xf numFmtId="0" fontId="7" fillId="5" borderId="2" xfId="0" applyNumberFormat="1" applyFont="1" applyFill="1" applyBorder="1" applyAlignment="1">
      <x:alignment vertical="center" wrapText="1"/>
    </x:xf>
    <x:xf numFmtId="0" fontId="8" fillId="6" borderId="2" xfId="0" applyNumberFormat="1" applyFont="1" applyFill="1" applyBorder="1" applyAlignment="1">
      <x:alignment vertical="center"/>
    </x:xf>
    <x:xf numFmtId="0" fontId="9" fillId="8" borderId="2" xfId="0" applyNumberFormat="1" applyFont="1" applyFill="1" applyBorder="1" applyAlignment="1">
      <x:alignment vertical="center" wrapText="1"/>
    </x:xf>
    <x:xf numFmtId="0" fontId="10" fillId="0" borderId="2" xfId="0" applyNumberFormat="1" applyFont="1" applyFill="1" applyBorder="1"/>
    <x:xf numFmtId="0" fontId="11" fillId="0" borderId="2" xfId="0" applyNumberFormat="1" applyFont="1" applyFill="1" applyBorder="1" applyAlignment="1">
      <x:alignment vertical="top" wrapText="1"/>
    </x:xf>
    <x:xf numFmtId="0" fontId="1" fillId="9" borderId="0" xfId="0" applyNumberFormat="1" applyFont="1" applyFill="1" applyBorder="1" applyAlignment="1">
      <x:alignment vertical="center"/>
    </x:xf>
    <x:xf numFmtId="0" fontId="0" fillId="9" borderId="0" xfId="0" applyNumberFormat="1" applyFont="1" applyFill="1" applyBorder="1"/>
    <x:xf numFmtId="0" fontId="12" fillId="9" borderId="0" xfId="0" applyNumberFormat="1" applyFont="1" applyFill="1" applyBorder="1" applyAlignment="1">
      <x:alignment vertical="center"/>
    </x:xf>
    <x:xf numFmtId="0" fontId="12" fillId="9" borderId="0" xfId="0" applyNumberFormat="1" applyFont="1" applyFill="1" applyBorder="1"/>
    <x:xf numFmtId="0" fontId="12" fillId="9" borderId="0" xfId="0" applyNumberFormat="1" applyFont="1" applyFill="1" applyBorder="1" applyAlignment="1">
      <x:alignment horizontal="left" vertical="center"/>
    </x:xf>
    <x:xf numFmtId="0" fontId="12" fillId="9" borderId="0" xfId="0" applyNumberFormat="1" applyFont="1" applyFill="1" applyBorder="1" applyAlignment="1">
      <x:alignment horizontal="left"/>
    </x:xf>
    <x:xf numFmtId="0" fontId="1" fillId="9" borderId="2" xfId="0" applyNumberFormat="1" applyFont="1" applyFill="1" applyBorder="1" applyAlignment="1">
      <x:alignment vertical="center"/>
    </x:xf>
    <x:xf numFmtId="0" fontId="0" fillId="9" borderId="2" xfId="0" applyNumberFormat="1" applyFont="1" applyFill="1" applyBorder="1"/>
    <x:xf numFmtId="0" fontId="12" fillId="9" borderId="2" xfId="0" applyNumberFormat="1" applyFont="1" applyFill="1" applyBorder="1" applyAlignment="1">
      <x:alignment vertical="center"/>
    </x:xf>
    <x:xf numFmtId="0" fontId="12" fillId="9" borderId="2" xfId="0" applyNumberFormat="1" applyFont="1" applyFill="1" applyBorder="1"/>
    <x:xf numFmtId="0" fontId="12" fillId="9" borderId="2" xfId="0" applyNumberFormat="1" applyFont="1" applyFill="1" applyBorder="1" applyAlignment="1">
      <x:alignment horizontal="left" vertical="center"/>
    </x:xf>
    <x:xf numFmtId="0" fontId="12" fillId="9" borderId="2" xfId="0" applyNumberFormat="1" applyFont="1" applyFill="1" applyBorder="1" applyAlignment="1">
      <x:alignment horizontal="left"/>
    </x:xf>
    <x:xf numFmtId="0" fontId="4" fillId="0" borderId="0" xfId="0" applyNumberFormat="1" applyFont="1" applyFill="1" applyBorder="1"/>
    <x:xf numFmtId="0" fontId="2" fillId="10" borderId="0" xfId="0" applyNumberFormat="1" applyFont="1" applyFill="1" applyBorder="1" applyAlignment="1">
      <x:alignment vertical="center" wrapText="1"/>
    </x:xf>
    <x:xf numFmtId="0" fontId="0" fillId="10" borderId="0" xfId="0" applyNumberFormat="1" applyFont="1" applyFill="1" applyBorder="1"/>
    <x:xf numFmtId="0" fontId="13" fillId="10" borderId="0" xfId="0" applyNumberFormat="1" applyFont="1" applyFill="1" applyBorder="1" applyAlignment="1">
      <x:alignment vertical="center" wrapText="1"/>
    </x:xf>
    <x:xf numFmtId="0" fontId="13" fillId="10" borderId="0" xfId="0" applyNumberFormat="1" applyFont="1" applyFill="1" applyBorder="1"/>
    <x:xf numFmtId="0" fontId="13" fillId="10" borderId="0" xfId="0" applyNumberFormat="1" applyFont="1" applyFill="1" applyBorder="1" applyAlignment="1">
      <x:alignment wrapText="1"/>
    </x:xf>
    <x:xf numFmtId="0" fontId="2" fillId="10" borderId="2" xfId="0" applyNumberFormat="1" applyFont="1" applyFill="1" applyBorder="1" applyAlignment="1">
      <x:alignment vertical="center" wrapText="1"/>
    </x:xf>
    <x:xf numFmtId="0" fontId="0" fillId="10" borderId="2" xfId="0" applyNumberFormat="1" applyFont="1" applyFill="1" applyBorder="1"/>
    <x:xf numFmtId="0" fontId="13" fillId="10" borderId="2" xfId="0" applyNumberFormat="1" applyFont="1" applyFill="1" applyBorder="1" applyAlignment="1">
      <x:alignment vertical="center" wrapText="1"/>
    </x:xf>
    <x:xf numFmtId="0" fontId="13" fillId="10" borderId="2" xfId="0" applyNumberFormat="1" applyFont="1" applyFill="1" applyBorder="1"/>
    <x:xf numFmtId="0" fontId="13" fillId="10" borderId="2"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horizontal="center"/>
    </x:xf>
    <x:xf numFmtId="0" fontId="5" fillId="11" borderId="0" xfId="0" applyNumberFormat="1" applyFont="1" applyFill="1" applyBorder="1" applyAlignment="1">
      <x:alignment horizontal="center" vertical="center"/>
    </x:xf>
    <x:xf numFmtId="0" fontId="0" fillId="11" borderId="2" xfId="0" applyNumberFormat="1" applyFont="1" applyFill="1" applyBorder="1"/>
    <x:xf numFmtId="0" fontId="5" fillId="11" borderId="2" xfId="0" applyNumberFormat="1" applyFont="1" applyFill="1" applyBorder="1"/>
    <x:xf numFmtId="0" fontId="5" fillId="11" borderId="2" xfId="0" applyNumberFormat="1" applyFont="1" applyFill="1" applyBorder="1" applyAlignment="1">
      <x:alignment horizontal="center"/>
    </x:xf>
    <x:xf numFmtId="0" fontId="5" fillId="11" borderId="2" xfId="0" applyNumberFormat="1" applyFont="1" applyFill="1" applyBorder="1" applyAlignment="1">
      <x:alignment horizontal="center" vertical="center"/>
    </x:xf>
    <x:xf numFmtId="0" fontId="14" fillId="0" borderId="0" xfId="0" applyNumberFormat="1" applyFont="1" applyFill="1" applyBorder="1"/>
    <x:xf numFmtId="200" fontId="14" fillId="0" borderId="0" xfId="0" applyNumberFormat="1" applyFont="1" applyFill="1" applyBorder="1"/>
    <x:xf numFmtId="200" fontId="14" fillId="0" borderId="0" xfId="0" applyNumberFormat="1" applyFont="1" applyFill="1" applyBorder="1" applyAlignment="1">
      <x:alignment horizontal="center"/>
    </x:xf>
    <x:xf numFmtId="200" fontId="14" fillId="0" borderId="0" xfId="0" applyNumberFormat="1" applyFont="1" applyFill="1" applyBorder="1" applyAlignment="1">
      <x:alignment horizontal="center" vertical="center"/>
    </x:xf>
    <x:xf numFmtId="0" fontId="14" fillId="0" borderId="2" xfId="0" applyNumberFormat="1" applyFont="1" applyFill="1" applyBorder="1"/>
    <x:xf numFmtId="200" fontId="14" fillId="0" borderId="2" xfId="0" applyNumberFormat="1" applyFont="1" applyFill="1" applyBorder="1"/>
    <x:xf numFmtId="200" fontId="14" fillId="0" borderId="2" xfId="0" applyNumberFormat="1" applyFont="1" applyFill="1" applyBorder="1" applyAlignment="1">
      <x:alignment horizontal="center"/>
    </x:xf>
    <x:xf numFmtId="200" fontId="14" fillId="0" borderId="2"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horizontal="center"/>
    </x:xf>
    <x:xf numFmtId="0" fontId="15" fillId="0" borderId="2" xfId="0" applyNumberFormat="1" applyFont="1" applyFill="1" applyBorder="1"/>
    <x:xf numFmtId="0" fontId="15" fillId="0" borderId="2" xfId="0" applyNumberFormat="1" applyFont="1" applyFill="1" applyBorder="1" applyAlignment="1">
      <x:alignment horizontal="center"/>
    </x:xf>
    <x:xf numFmtId="0" fontId="16" fillId="0" borderId="0" xfId="0" applyNumberFormat="1" applyFont="1" applyFill="1" applyBorder="1"/>
    <x:xf numFmtId="165" fontId="16" fillId="0" borderId="0" xfId="0" applyNumberFormat="1" applyFont="1" applyFill="1" applyBorder="1"/>
    <x:xf numFmtId="165" fontId="16" fillId="0" borderId="0" xfId="0" applyNumberFormat="1" applyFont="1" applyFill="1" applyBorder="1" applyAlignment="1">
      <x:alignment horizontal="center"/>
    </x:xf>
    <x:xf numFmtId="165" fontId="16" fillId="0" borderId="0" xfId="0" applyNumberFormat="1" applyFont="1" applyFill="1" applyBorder="1" applyAlignment="1">
      <x:alignment horizontal="center" vertical="center"/>
    </x:xf>
    <x:xf numFmtId="0" fontId="16" fillId="0" borderId="2" xfId="0" applyNumberFormat="1" applyFont="1" applyFill="1" applyBorder="1"/>
    <x:xf numFmtId="165" fontId="16" fillId="0" borderId="2" xfId="0" applyNumberFormat="1" applyFont="1" applyFill="1" applyBorder="1"/>
    <x:xf numFmtId="165" fontId="16" fillId="0" borderId="2" xfId="0" applyNumberFormat="1" applyFont="1" applyFill="1" applyBorder="1" applyAlignment="1">
      <x:alignment horizontal="center"/>
    </x:xf>
    <x:xf numFmtId="165" fontId="16" fillId="0" borderId="2" xfId="0" applyNumberFormat="1" applyFont="1" applyFill="1" applyBorder="1" applyAlignment="1">
      <x:alignment horizontal="center" vertical="center"/>
    </x:xf>
    <x:xf numFmtId="201" fontId="16" fillId="0" borderId="0" xfId="0" applyNumberFormat="1" applyFont="1" applyFill="1" applyBorder="1"/>
    <x:xf numFmtId="201" fontId="16" fillId="0" borderId="0" xfId="0" applyNumberFormat="1" applyFont="1" applyFill="1" applyBorder="1" applyAlignment="1">
      <x:alignment horizontal="center"/>
    </x:xf>
    <x:xf numFmtId="201" fontId="16" fillId="0" borderId="0" xfId="0" applyNumberFormat="1" applyFont="1" applyFill="1" applyBorder="1" applyAlignment="1">
      <x:alignment horizontal="center" vertical="center"/>
    </x:xf>
    <x:xf numFmtId="201" fontId="16" fillId="0" borderId="2" xfId="0" applyNumberFormat="1" applyFont="1" applyFill="1" applyBorder="1"/>
    <x:xf numFmtId="201" fontId="16" fillId="0" borderId="2" xfId="0" applyNumberFormat="1" applyFont="1" applyFill="1" applyBorder="1" applyAlignment="1">
      <x:alignment horizontal="center"/>
    </x:xf>
    <x:xf numFmtId="201" fontId="16" fillId="0" borderId="2" xfId="0" applyNumberFormat="1" applyFont="1" applyFill="1" applyBorder="1" applyAlignment="1">
      <x:alignment horizontal="center" vertical="center"/>
    </x:xf>
    <x:xf numFmtId="0" fontId="0" fillId="12" borderId="0" xfId="0" applyNumberFormat="1" applyFont="1" applyFill="1" applyBorder="1"/>
    <x:xf numFmtId="0" fontId="17" fillId="12" borderId="0" xfId="0" applyNumberFormat="1" applyFont="1" applyFill="1" applyBorder="1"/>
    <x:xf numFmtId="0" fontId="0" fillId="12" borderId="2" xfId="0" applyNumberFormat="1" applyFont="1" applyFill="1" applyBorder="1"/>
    <x:xf numFmtId="0" fontId="17" fillId="12" borderId="2" xfId="0" applyNumberFormat="1" applyFont="1" applyFill="1" applyBorder="1"/>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11" fillId="13" borderId="0" xfId="0" applyNumberFormat="1" applyFont="1" applyFill="1" applyBorder="1" applyAlignment="1">
      <x:alignment vertical="top" wrapText="1"/>
    </x:xf>
    <x:xf numFmtId="0" fontId="0" fillId="13" borderId="2" xfId="0" applyNumberFormat="1" applyFont="1" applyFill="1" applyBorder="1"/>
    <x:xf numFmtId="0" fontId="11" fillId="13" borderId="2" xfId="0" applyNumberFormat="1" applyFont="1" applyFill="1" applyBorder="1"/>
    <x:xf numFmtId="0" fontId="11" fillId="13" borderId="2" xfId="0" applyNumberFormat="1" applyFont="1" applyFill="1" applyBorder="1" applyAlignment="1">
      <x:alignment wrapText="1"/>
    </x:xf>
    <x:xf numFmtId="0" fontId="11" fillId="13" borderId="2" xfId="0" applyNumberFormat="1" applyFont="1" applyFill="1" applyBorder="1" applyAlignment="1">
      <x:alignment vertical="top"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vertical="top" wrapText="1"/>
    </x:xf>
    <x:xf numFmtId="0" fontId="11" fillId="11" borderId="2" xfId="0" applyNumberFormat="1" applyFont="1" applyFill="1" applyBorder="1"/>
    <x:xf numFmtId="0" fontId="11" fillId="11" borderId="2" xfId="0" applyNumberFormat="1" applyFont="1" applyFill="1" applyBorder="1" applyAlignment="1">
      <x:alignment wrapText="1"/>
    </x:xf>
    <x:xf numFmtId="0" fontId="11" fillId="11" borderId="2" xfId="0" applyNumberFormat="1" applyFont="1" applyFill="1" applyBorder="1" applyAlignment="1">
      <x:alignment vertical="top"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0" fillId="14" borderId="2" xfId="0" applyNumberFormat="1" applyFont="1" applyFill="1" applyBorder="1"/>
    <x:xf numFmtId="0" fontId="11" fillId="14" borderId="2" xfId="0" applyNumberFormat="1" applyFont="1" applyFill="1" applyBorder="1"/>
    <x:xf numFmtId="0" fontId="11" fillId="14" borderId="2" xfId="0" applyNumberFormat="1" applyFont="1" applyFill="1" applyBorder="1" applyAlignment="1">
      <x:alignment wrapText="1"/>
    </x:xf>
    <x:xf numFmtId="0" fontId="11" fillId="14" borderId="2" xfId="0" applyNumberFormat="1" applyFont="1" applyFill="1" applyBorder="1" applyAlignment="1">
      <x:alignment vertical="top" wrapText="1"/>
    </x:xf>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vertical="top" wrapText="1"/>
    </x:xf>
    <x:xf numFmtId="0" fontId="11" fillId="10" borderId="2" xfId="0" applyNumberFormat="1" applyFont="1" applyFill="1" applyBorder="1"/>
    <x:xf numFmtId="0" fontId="11" fillId="10" borderId="2" xfId="0" applyNumberFormat="1" applyFont="1" applyFill="1" applyBorder="1" applyAlignment="1">
      <x:alignment wrapText="1"/>
    </x:xf>
    <x:xf numFmtId="0" fontId="11" fillId="10" borderId="2" xfId="0" applyNumberFormat="1" applyFont="1" applyFill="1" applyBorder="1" applyAlignment="1">
      <x:alignment vertical="top" wrapText="1"/>
    </x:xf>
    <x:xf numFmtId="0" fontId="18" fillId="14" borderId="0" xfId="0" applyNumberFormat="1" applyFont="1" applyFill="1" applyBorder="1"/>
    <x:xf numFmtId="0" fontId="18" fillId="14"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18" fillId="14" borderId="2" xfId="0" applyNumberFormat="1" applyFont="1" applyFill="1" applyBorder="1"/>
    <x:xf numFmtId="0" fontId="18" fillId="14" borderId="2" xfId="0" applyNumberFormat="1" applyFont="1" applyFill="1" applyBorder="1" applyAlignment="1">
      <x:alignment wrapText="1"/>
    </x:xf>
    <x:xf numFmtId="0" fontId="18" fillId="14" borderId="2" xfId="0" applyNumberFormat="1" applyFont="1" applyFill="1" applyBorder="1" applyAlignment="1">
      <x:alignment vertical="top" wrapText="1"/>
    </x:xf>
    <x:xf numFmtId="0" fontId="0" fillId="15" borderId="0" xfId="0" applyNumberFormat="1" applyFont="1" applyFill="1" applyBorder="1"/>
    <x:xf numFmtId="0" fontId="19" fillId="15" borderId="0" xfId="0" applyNumberFormat="1" applyFont="1" applyFill="1" applyBorder="1"/>
    <x:xf numFmtId="0" fontId="19" fillId="15" borderId="0" xfId="0" applyNumberFormat="1" applyFont="1" applyFill="1" applyBorder="1" applyAlignment="1">
      <x:alignment wrapText="1"/>
    </x:xf>
    <x:xf numFmtId="0" fontId="19" fillId="15" borderId="0" xfId="0" applyNumberFormat="1" applyFont="1" applyFill="1" applyBorder="1" applyAlignment="1">
      <x:alignment vertical="center" wrapText="1"/>
    </x:xf>
    <x:xf numFmtId="0" fontId="0" fillId="15" borderId="2" xfId="0" applyNumberFormat="1" applyFont="1" applyFill="1" applyBorder="1"/>
    <x:xf numFmtId="0" fontId="19" fillId="15" borderId="2" xfId="0" applyNumberFormat="1" applyFont="1" applyFill="1" applyBorder="1"/>
    <x:xf numFmtId="0" fontId="19" fillId="15" borderId="2" xfId="0" applyNumberFormat="1" applyFont="1" applyFill="1" applyBorder="1" applyAlignment="1">
      <x:alignment wrapText="1"/>
    </x:xf>
    <x:xf numFmtId="0" fontId="19" fillId="15" borderId="2" xfId="0" applyNumberFormat="1" applyFont="1" applyFill="1" applyBorder="1" applyAlignment="1">
      <x:alignment vertical="center" wrapText="1"/>
    </x:xf>
    <x:xf numFmtId="0" fontId="20" fillId="0" borderId="0" xfId="0" applyNumberFormat="1" applyFont="1" applyFill="1" applyBorder="1"/>
    <x:xf numFmtId="0" fontId="20" fillId="0" borderId="2" xfId="0" applyNumberFormat="1" applyFont="1" applyFill="1" applyBorder="1"/>
    <x:xf numFmtId="0" fontId="21" fillId="10" borderId="0" xfId="0" applyNumberFormat="1" applyFont="1" applyFill="1" applyBorder="1" applyAlignment="1">
      <x:alignment vertical="center" wrapText="1"/>
    </x:xf>
    <x:xf numFmtId="0" fontId="21" fillId="10" borderId="2" xfId="0" applyNumberFormat="1" applyFont="1" applyFill="1" applyBorder="1" applyAlignment="1">
      <x:alignment vertical="center" wrapText="1"/>
    </x:xf>
  </x:cellXfs>
  <x:cellStyles count="1">
    <x:cellStyle name="Normal" xfId="0"/>
  </x:cellStyles>
  <x:dxfs count="3">
    <x:dxf>
      <x:fill>
        <x:patternFill>
          <x:bgColor rgb="FFEAF4F8"/>
        </x:patternFill>
      </x:fill>
    </x:dxf>
    <x:dxf>
      <x:fill>
        <x:patternFill>
          <x:bgColor rgb="FFEAF4F8"/>
        </x:patternFill>
      </x:fill>
    </x:dxf>
    <x:dxf>
      <x:font>
        <x:b/>
        <x:color rgb="FF7A4E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5804f37abb486e" /><Relationship Type="http://schemas.openxmlformats.org/officeDocument/2006/relationships/theme" Target="/xl/theme/theme1.xml" Id="Ra14307d307694573" /><Relationship Type="http://schemas.openxmlformats.org/officeDocument/2006/relationships/sharedStrings" Target="/xl/sharedStrings.xml" Id="Rd97599bd32ca4ea0" /><Relationship Type="http://schemas.openxmlformats.org/officeDocument/2006/relationships/worksheet" Target="/xl/worksheets/sheet1.xml" Id="R19dff9fde1724674" /><Relationship Type="http://schemas.openxmlformats.org/officeDocument/2006/relationships/worksheet" Target="/xl/worksheets/sheet2.xml" Id="Rd3a60f29c7ec434c" /><Relationship Type="http://schemas.openxmlformats.org/officeDocument/2006/relationships/worksheet" Target="/xl/worksheets/sheet3.xml" Id="Rc4b65c7fb0ef44a6" /><Relationship Type="http://schemas.openxmlformats.org/officeDocument/2006/relationships/worksheet" Target="/xl/worksheets/sheet4.xml" Id="R3c6cfb2822914f09" /><Relationship Type="http://schemas.openxmlformats.org/officeDocument/2006/relationships/worksheet" Target="/xl/worksheets/sheet5.xml" Id="Re006cc732b7042a1" /><Relationship Type="http://schemas.openxmlformats.org/officeDocument/2006/relationships/worksheet" Target="/xl/worksheets/sheet6.xml" Id="R4b4a7a195b454235" /><Relationship Type="http://schemas.openxmlformats.org/officeDocument/2006/relationships/worksheet" Target="/xl/worksheets/sheet7.xml" Id="R0aa2c561b8724228" /><Relationship Type="http://schemas.openxmlformats.org/officeDocument/2006/relationships/worksheet" Target="/xl/worksheets/sheet8.xml" Id="R0998ed92e7a24c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c1d43c96efb49fe"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t>Revenue impact by residual transfer rate</a:t>
            </a:r>
          </a:p>
        </c:rich>
      </c:tx>
    </c:title>
    <c:autoTitleDeleted val="0"/>
    <c:plotArea>
      <c:lineChart>
        <c:grouping val="standard"/>
        <c:varyColors val="0"/>
        <c:ser>
          <c:idx val="0"/>
          <c:order val="0"/>
          <c:tx>
            <c:strRef>
              <c:f>'7. Break-even Sensitivity'!$P$2</c:f>
              <c:strCache>
                <c:ptCount val="1"/>
                <c:pt idx="0">
                  <c:v>0 retained sales</c:v>
                </c:pt>
              </c:strCache>
            </c:strRef>
          </c:tx>
          <c:spPr>
            <a:ln xmlns:a="http://schemas.openxmlformats.org/drawingml/2006/main" w="19050"/>
          </c:spPr>
          <c:marker>
            <c:symbol val="circle"/>
            <c:size val="4"/>
          </c:marker>
          <c:cat>
            <c:strLit>
              <c:ptCount val="0"/>
            </c:strLit>
          </c:cat>
          <c:val>
            <c:numRef>
              <c:f>'7. Break-even Sensitivity'!$P$3:$P$13</c:f>
              <c:numCache>
                <c:formatCode>\+\£#,##0;[Red]\-\£#,##0;\£0</c:formatCode>
                <c:ptCount val="11"/>
                <c:pt idx="0">
                  <c:v>-628.3614893918602</c:v>
                </c:pt>
                <c:pt idx="1">
                  <c:v>-588.6552435626354</c:v>
                </c:pt>
                <c:pt idx="2">
                  <c:v>-548.9489977334101</c:v>
                </c:pt>
                <c:pt idx="3">
                  <c:v>-509.2427519041853</c:v>
                </c:pt>
                <c:pt idx="4">
                  <c:v>-469.5365060749605</c:v>
                </c:pt>
                <c:pt idx="5">
                  <c:v>-429.8302602457352</c:v>
                </c:pt>
                <c:pt idx="6">
                  <c:v>-390.1240144165104</c:v>
                </c:pt>
                <c:pt idx="7">
                  <c:v>-350.4177685872855</c:v>
                </c:pt>
                <c:pt idx="8">
                  <c:v>-310.7115227580603</c:v>
                </c:pt>
                <c:pt idx="9">
                  <c:v>-271.0052769288354</c:v>
                </c:pt>
                <c:pt idx="10">
                  <c:v>-231.2990310996101</c:v>
                </c:pt>
              </c:numCache>
            </c:numRef>
          </c:val>
        </c:ser>
        <c:ser>
          <c:idx val="1"/>
          <c:order val="1"/>
          <c:tx>
            <c:strRef>
              <c:f>'7. Break-even Sensitivity'!$Q$2</c:f>
              <c:strCache>
                <c:ptCount val="1"/>
                <c:pt idx="0">
                  <c:v>10 retained sales</c:v>
                </c:pt>
              </c:strCache>
            </c:strRef>
          </c:tx>
          <c:marker>
            <c:symbol val="none"/>
          </c:marker>
          <c:cat>
            <c:strLit>
              <c:ptCount val="0"/>
            </c:strLit>
          </c:cat>
          <c:val>
            <c:numRef>
              <c:f>'7. Break-even Sensitivity'!$Q$3:$Q$13</c:f>
              <c:numCache>
                <c:formatCode>\+\£#,##0;[Red]\-\£#,##0;\£0</c:formatCode>
                <c:ptCount val="11"/>
                <c:pt idx="0">
                  <c:v>-188.3614893918602</c:v>
                </c:pt>
                <c:pt idx="1">
                  <c:v>-148.6552435626354</c:v>
                </c:pt>
                <c:pt idx="2">
                  <c:v>-108.9489977334101</c:v>
                </c:pt>
                <c:pt idx="3">
                  <c:v>-69.2427519041853</c:v>
                </c:pt>
                <c:pt idx="4">
                  <c:v>-29.53650607496047</c:v>
                </c:pt>
                <c:pt idx="5">
                  <c:v>10.16973975426481</c:v>
                </c:pt>
                <c:pt idx="6">
                  <c:v>49.87598558348964</c:v>
                </c:pt>
                <c:pt idx="7">
                  <c:v>89.58223141271446</c:v>
                </c:pt>
                <c:pt idx="8">
                  <c:v>129.2884772419397</c:v>
                </c:pt>
                <c:pt idx="9">
                  <c:v>168.9947230711646</c:v>
                </c:pt>
                <c:pt idx="10">
                  <c:v>208.7009689003899</c:v>
                </c:pt>
              </c:numCache>
            </c:numRef>
          </c:val>
        </c:ser>
        <c:ser>
          <c:idx val="2"/>
          <c:order val="2"/>
          <c:tx>
            <c:strRef>
              <c:f>'7. Break-even Sensitivity'!$R$2</c:f>
              <c:strCache>
                <c:ptCount val="1"/>
                <c:pt idx="0">
                  <c:v>13 retained sales</c:v>
                </c:pt>
              </c:strCache>
            </c:strRef>
          </c:tx>
          <c:marker>
            <c:symbol val="none"/>
          </c:marker>
          <c:cat>
            <c:strLit>
              <c:ptCount val="0"/>
            </c:strLit>
          </c:cat>
          <c:val>
            <c:numRef>
              <c:f>'7. Break-even Sensitivity'!$R$3:$R$13</c:f>
              <c:numCache>
                <c:formatCode>\+\£#,##0;[Red]\-\£#,##0;\£0</c:formatCode>
                <c:ptCount val="11"/>
                <c:pt idx="0">
                  <c:v>-56.36148939186023</c:v>
                </c:pt>
                <c:pt idx="1">
                  <c:v>-16.65524356263541</c:v>
                </c:pt>
                <c:pt idx="2">
                  <c:v>23.05100226658988</c:v>
                </c:pt>
                <c:pt idx="3">
                  <c:v>62.7572480958147</c:v>
                </c:pt>
                <c:pt idx="4">
                  <c:v>102.4634939250395</c:v>
                </c:pt>
                <c:pt idx="5">
                  <c:v>142.1697397542648</c:v>
                </c:pt>
                <c:pt idx="6">
                  <c:v>181.8759855834896</c:v>
                </c:pt>
                <c:pt idx="7">
                  <c:v>221.5822314127145</c:v>
                </c:pt>
                <c:pt idx="8">
                  <c:v>261.2884772419397</c:v>
                </c:pt>
                <c:pt idx="9">
                  <c:v>300.9947230711646</c:v>
                </c:pt>
                <c:pt idx="10">
                  <c:v>340.7009689003899</c:v>
                </c:pt>
              </c:numCache>
            </c:numRef>
          </c:val>
        </c:ser>
        <c:ser>
          <c:idx val="3"/>
          <c:order val="3"/>
          <c:tx>
            <c:strRef>
              <c:f>'7. Break-even Sensitivity'!$S$2</c:f>
              <c:strCache>
                <c:ptCount val="1"/>
                <c:pt idx="0">
                  <c:v>15 retained sales</c:v>
                </c:pt>
              </c:strCache>
            </c:strRef>
          </c:tx>
          <c:marker>
            <c:symbol val="none"/>
          </c:marker>
          <c:cat>
            <c:strLit>
              <c:ptCount val="0"/>
            </c:strLit>
          </c:cat>
          <c:val>
            <c:numRef>
              <c:f>'7. Break-even Sensitivity'!$S$3:$S$13</c:f>
              <c:numCache>
                <c:formatCode>\+\£#,##0;[Red]\-\£#,##0;\£0</c:formatCode>
                <c:ptCount val="11"/>
                <c:pt idx="0">
                  <c:v>31.63851060813977</c:v>
                </c:pt>
                <c:pt idx="1">
                  <c:v>71.3447564373646</c:v>
                </c:pt>
                <c:pt idx="2">
                  <c:v>111.0510022665899</c:v>
                </c:pt>
                <c:pt idx="3">
                  <c:v>150.7572480958147</c:v>
                </c:pt>
                <c:pt idx="4">
                  <c:v>190.4634939250395</c:v>
                </c:pt>
                <c:pt idx="5">
                  <c:v>230.1697397542648</c:v>
                </c:pt>
                <c:pt idx="6">
                  <c:v>269.8759855834896</c:v>
                </c:pt>
                <c:pt idx="7">
                  <c:v>309.5822314127145</c:v>
                </c:pt>
                <c:pt idx="8">
                  <c:v>349.2884772419397</c:v>
                </c:pt>
                <c:pt idx="9">
                  <c:v>388.9947230711646</c:v>
                </c:pt>
                <c:pt idx="10">
                  <c:v>428.7009689003899</c:v>
                </c:pt>
              </c:numCache>
            </c:numRef>
          </c:val>
        </c:ser>
        <c:dLbls>
          <c:showLegendKey val="0"/>
          <c:showVal val="0"/>
          <c:showCatName val="0"/>
          <c:showSerName val="0"/>
          <c:showPercent val="0"/>
          <c:showBubbleSize val="0"/>
        </c:dLbls>
        <c:axId val="50010001"/>
        <c:axId val="50010002"/>
      </c:lineChart>
      <c:catAx>
        <c:axId val="50010001"/>
        <c:scaling>
          <c:orientation val="minMax"/>
        </c:scaling>
        <c:delete val="0"/>
        <c:axPos val="b"/>
        <c:title>
          <c:tx>
            <c:rich>
              <a:bodyPr xmlns:a="http://schemas.openxmlformats.org/drawingml/2006/main"/>
              <a:lstStyle xmlns:a="http://schemas.openxmlformats.org/drawingml/2006/main"/>
              <a:p xmlns:a="http://schemas.openxmlformats.org/drawingml/2006/main">
                <a:r>
                  <a:t>Residual 33 transfer rate</a:t>
                </a:r>
              </a:p>
            </c:rich>
          </c:tx>
        </c:title>
        <c:numFmt formatCode="0%" sourceLinked="0"/>
        <c:majorTickMark val="out"/>
        <c:minorTickMark val="none"/>
        <c:tickLblPos val="nextTo"/>
        <c:crossAx val="50010002"/>
        <c:crosses val="autoZero"/>
        <c:lblAlgn val="ctr"/>
        <c:lblOffset val="100"/>
        <c:noMultiLvlLbl val="0"/>
      </c:catAx>
      <c:valAx>
        <c:axId val="50010002"/>
        <c:scaling>
          <c:orientation val="minMax"/>
        </c:scaling>
        <c:delete val="0"/>
        <c:axPos val="l"/>
        <c:majorGridlines>
          <c:spPr>
            <a:ln xmlns:a="http://schemas.openxmlformats.org/drawingml/2006/main">
              <a:solidFill>
                <a:srgbClr val="E5E7EB"/>
              </a:solidFill>
            </a:ln>
          </c:spPr>
        </c:majorGridlines>
        <c:title>
          <c:tx>
            <c:rich>
              <a:bodyPr xmlns:a="http://schemas.openxmlformats.org/drawingml/2006/main"/>
              <a:lstStyle xmlns:a="http://schemas.openxmlformats.org/drawingml/2006/main"/>
              <a:p xmlns:a="http://schemas.openxmlformats.org/drawingml/2006/main">
                <a:r>
                  <a:t>Revenue change vs current affected baseline (£)</a:t>
                </a:r>
              </a:p>
            </c:rich>
          </c:tx>
        </c:title>
        <c:numFmt formatCode="\£0;[Red]\-\£0" sourceLinked="0"/>
        <c:majorTickMark val="out"/>
        <c:minorTickMark val="none"/>
        <c:tickLblPos val="nextTo"/>
        <c:crossAx val="50010001"/>
        <c:crosses val="autoZero"/>
        <c:crossBetween val="between"/>
      </c:valAx>
      <c:spPr>
        <a:solidFill xmlns:a="http://schemas.openxmlformats.org/drawingml/2006/main">
          <a:srgbClr val="FFFFFF"/>
        </a:solidFill>
        <a:ln xmlns:a="http://schemas.openxmlformats.org/drawingml/2006/main">
          <a:noFill/>
        </a:ln>
      </c:spPr>
    </c:plotArea>
    <c:legend>
      <c:legendPos val="b"/>
      <c:overlay val="0"/>
    </c:legend>
    <c:plotVisOnly val="1"/>
  </c:chart>
  <c:spPr>
    <a:solidFill xmlns:a="http://schemas.openxmlformats.org/drawingml/2006/main">
      <a:srgbClr val="FFFFFF"/>
    </a:solidFill>
    <a:ln xmlns:a="http://schemas.openxmlformats.org/drawingml/2006/main">
      <a:noFill/>
    </a:ln>
  </c:spPr>
</c:chartSpace>
</file>

<file path=xl/drawings/drawing1.xml><?xml version="1.0" encoding="utf-8"?>
<xdr:wsDr xmlns:xdr="http://schemas.openxmlformats.org/drawingml/2006/spreadsheetDrawing">
  <xdr:twoCellAnchor>
    <xdr:from>
      <xdr:col>5</xdr:col>
      <xdr:colOff>44824</xdr:colOff>
      <xdr:row>12</xdr:row>
      <xdr:rowOff>14941</xdr:rowOff>
    </xdr:from>
    <xdr:to>
      <xdr:col>10</xdr:col>
      <xdr:colOff>711574</xdr:colOff>
      <xdr:row>28</xdr:row>
      <xdr:rowOff>110191</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1d43c96efb49fe"/>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1a07ff2578364a56"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3" hidden="0" customWidth="1"/>
    <x:col min="2" max="8" width="18.6640625" customWidth="1"/>
    <x:col min="2" max="2" width="15" hidden="0" customWidth="1"/>
    <x:col min="3" max="3" width="12" hidden="0" customWidth="1"/>
    <x:col min="4" max="4" width="3" hidden="0" customWidth="1"/>
    <x:col min="5" max="5" width="15" hidden="0" customWidth="1"/>
    <x:col min="6" max="6" width="12" hidden="0" customWidth="1"/>
    <x:col min="7" max="7" width="3" hidden="0" customWidth="1"/>
    <x:col min="8" max="8" width="15" hidden="0" customWidth="1"/>
    <x:col min="9" max="9" width="12" hidden="0" customWidth="1"/>
    <x:col min="10" max="10" width="3" hidden="0" customWidth="1"/>
    <x:col min="11" max="11" width="15" hidden="0" customWidth="1"/>
    <x:col min="12" max="12" width="12" hidden="0" customWidth="1"/>
    <x:col min="13" max="13" width="3" hidden="0" customWidth="1"/>
  </x:cols>
  <x:sheetData>
    <x:row r="1">
      <x:c r="N1" t="str">
        <x:v>metric</x:v>
      </x:c>
      <x:c r="O1" t="str">
        <x:v>source</x:v>
      </x:c>
    </x:row>
    <x:row r="2" ht="28" customHeight="1">
      <x:c r="B2" s="48" t="str">
        <x:v>Credit Card Panel Performance Review</x:v>
      </x:c>
      <x:c r="C2" s="48"/>
      <x:c r="D2" s="48"/>
      <x:c r="E2" s="48"/>
      <x:c r="F2" s="48"/>
      <x:c r="G2" s="48"/>
      <x:c r="H2" s="48"/>
      <x:c r="I2" s="48"/>
      <x:c r="J2" s="48"/>
      <x:c r="K2" s="48"/>
      <x:c r="L2" s="48"/>
      <x:c r="N2" t="str">
        <x:v>card29_clicks</x:v>
      </x:c>
      <x:c r="O2" t="n">
        <x:f>'3. Card Performance'!C2</x:f>
        <x:v>398</x:v>
      </x:c>
    </x:row>
    <x:row r="3" ht="28" customHeight="1">
      <x:c r="B3" s="48"/>
      <x:c r="C3" s="48"/>
      <x:c r="D3" s="48"/>
      <x:c r="E3" s="48"/>
      <x:c r="F3" s="48"/>
      <x:c r="G3" s="48"/>
      <x:c r="H3" s="48"/>
      <x:c r="I3" s="48"/>
      <x:c r="J3" s="48"/>
      <x:c r="K3" s="48"/>
      <x:c r="L3" s="48"/>
      <x:c r="N3" t="str">
        <x:v>card29_click_to_sale</x:v>
      </x:c>
      <x:c r="O3" t="n">
        <x:f>'3. Card Performance'!F2</x:f>
        <x:v>0.1582914572864321</x:v>
      </x:c>
    </x:row>
    <x:row r="4" ht="18" customHeight="1">
      <x:c r="B4" s="56" t="str">
        <x:v>Executive summary | Observed diagnosis + conditional Card 29 counterfactual</x:v>
      </x:c>
      <x:c r="C4" s="56"/>
      <x:c r="D4" s="56"/>
      <x:c r="E4" s="56"/>
      <x:c r="F4" s="56"/>
      <x:c r="G4" s="56"/>
      <x:c r="H4" s="56"/>
      <x:c r="I4" s="56"/>
      <x:c r="J4" s="56"/>
      <x:c r="K4" s="56"/>
      <x:c r="L4" s="56"/>
      <x:c r="N4" t="str">
        <x:v>card29_revenue_per_click</x:v>
      </x:c>
      <x:c r="O4" t="n">
        <x:f>'3. Card Performance'!H2</x:f>
        <x:v>6.964824120603015</x:v>
      </x:c>
    </x:row>
    <x:row r="5">
      <x:c r="B5" s="15"/>
      <x:c r="C5" s="15"/>
      <x:c r="D5" s="15"/>
      <x:c r="E5" s="15"/>
      <x:c r="F5" s="15"/>
      <x:c r="G5" s="15"/>
      <x:c r="H5" s="15"/>
      <x:c r="N5" t="str">
        <x:v>affected_population</x:v>
      </x:c>
      <x:c r="O5" t="n">
        <x:f>'5. Intervention Population'!C6</x:f>
        <x:v>315</x:v>
      </x:c>
    </x:row>
    <x:row r="6" ht="24" customHeight="1">
      <x:c r="B6" s="59" t="str">
        <x:v>Decision</x:v>
      </x:c>
      <x:c r="C6" s="59"/>
      <x:c r="D6" s="59"/>
      <x:c r="E6" s="59"/>
      <x:c r="F6" s="59"/>
      <x:c r="G6" s="59"/>
      <x:c r="H6" s="59"/>
      <x:c r="I6" s="59"/>
      <x:c r="J6" s="59"/>
      <x:c r="K6" s="59"/>
      <x:c r="L6" s="59"/>
    </x:row>
    <x:row r="7" ht="24" customHeight="1">
      <x:c r="B7" s="149" t="str">
        <x:v>Test conditional Card 29 suppression/deprioritisation when another offer exists; retain it for sole-offer applicants. The evidence does not support immediate panel-wide removal.</x:v>
      </x:c>
      <x:c r="C7" s="149"/>
      <x:c r="D7" s="149"/>
      <x:c r="E7" s="149"/>
      <x:c r="F7" s="149"/>
      <x:c r="G7" s="149"/>
      <x:c r="H7" s="149"/>
      <x:c r="I7" s="149"/>
      <x:c r="J7" s="149"/>
      <x:c r="K7" s="149"/>
      <x:c r="L7" s="149"/>
    </x:row>
    <x:row r="8" ht="24" customHeight="1">
      <x:c r="B8" s="149"/>
      <x:c r="C8" s="149"/>
      <x:c r="D8" s="149"/>
      <x:c r="E8" s="149"/>
      <x:c r="F8" s="149"/>
      <x:c r="G8" s="149"/>
      <x:c r="H8" s="149"/>
      <x:c r="I8" s="149"/>
      <x:c r="J8" s="149"/>
      <x:c r="K8" s="149"/>
      <x:c r="L8" s="149"/>
    </x:row>
    <x:row r="10" ht="20" customHeight="1">
      <x:c r="B10" s="70" t="str">
        <x:v>CARD 29 CLICKS</x:v>
      </x:c>
      <x:c r="C10" s="70"/>
      <x:c r="E10" s="70" t="str">
        <x:v>CLICK → SALE</x:v>
      </x:c>
      <x:c r="F10" s="70"/>
      <x:c r="H10" s="70" t="str">
        <x:v>REVENUE / CLICK</x:v>
      </x:c>
      <x:c r="I10" s="70"/>
      <x:c r="K10" s="70" t="str">
        <x:v>PRACTICAL INTERVENTION</x:v>
      </x:c>
      <x:c r="L10" s="70"/>
    </x:row>
    <x:row r="11" ht="28" customHeight="1">
      <x:c r="B11" s="78" t="n">
        <x:f>'3. Card Performance'!C2</x:f>
        <x:v>398</x:v>
      </x:c>
      <x:c r="C11" s="78"/>
      <x:c r="E11" s="90" t="n">
        <x:f>'3. Card Performance'!F2</x:f>
        <x:v>0.1582914572864321</x:v>
      </x:c>
      <x:c r="F11" s="90"/>
      <x:c r="H11" s="97" t="str">
        <x:v>£6.96</x:v>
      </x:c>
      <x:c r="I11" s="97" t="str">
        <x:v>£6.96</x:v>
      </x:c>
      <x:c r="K11" s="78" t="n">
        <x:f>'5. Intervention Population'!C6</x:f>
        <x:v>315</x:v>
      </x:c>
      <x:c r="L11" s="78"/>
    </x:row>
    <x:row r="12" ht="28" customHeight="1">
      <x:c r="B12" s="78"/>
      <x:c r="C12" s="78"/>
      <x:c r="E12" s="90"/>
      <x:c r="F12" s="90"/>
      <x:c r="H12" s="97"/>
      <x:c r="I12" s="97"/>
      <x:c r="K12" s="78"/>
      <x:c r="L12" s="78"/>
    </x:row>
    <x:row r="13" ht="18" customHeight="1">
      <x:c r="B13" s="84" t="str">
        <x:v>398 / 1,863 = 21.4% of panel clicks</x:v>
      </x:c>
      <x:c r="C13" s="84"/>
      <x:c r="E13" s="84" t="str">
        <x:v>63 / 398 vs 29.8% panel baseline</x:v>
      </x:c>
      <x:c r="F13" s="84"/>
      <x:c r="H13" s="84" t="str">
        <x:v>£6.96 vs £11.32 panel baseline</x:v>
      </x:c>
      <x:c r="I13" s="84"/>
      <x:c r="K13" s="84" t="str">
        <x:v>315 suppress/test | 83 retain as sole offer</x:v>
      </x:c>
      <x:c r="L13" s="84"/>
    </x:row>
    <x:row r="15" ht="22" customHeight="1">
      <x:c r="B15" s="102" t="str">
        <x:v>Observed evidence</x:v>
      </x:c>
      <x:c r="C15" s="102"/>
      <x:c r="D15" s="102"/>
      <x:c r="E15" s="102"/>
      <x:c r="F15" s="102"/>
      <x:c r="G15" s="102"/>
      <x:c r="H15" s="102"/>
      <x:c r="I15" s="102"/>
      <x:c r="J15" s="102"/>
      <x:c r="K15" s="102"/>
      <x:c r="L15" s="102"/>
    </x:row>
    <x:row r="16" ht="24" customHeight="1">
      <x:c r="B16" s="108" t="str">
        <x:v>Downstream performance
• Card 29 converts 15.8% of clicks to sales (63 / 398), versus 29.8% across the panel and 33.6% for the rest of the panel.
• Revenue per click is £6.96 versus £11.32 across the panel.
• Card 30: 31.7% conversion and £13.94/click.
• Card 31: 26.3% conversion and £11.55/click.
• Cards 29, 30 and 31 each generate £44 per sale, so Card 29's weakness is conversion-driven.</x:v>
      </x:c>
      <x:c r="C16" s="108"/>
      <x:c r="D16" s="108"/>
      <x:c r="E16" s="108"/>
      <x:c r="F16" s="108"/>
      <x:c r="H16" s="115" t="str">
        <x:v>Same-application behaviour
• Card 29 vs Card 30 (n=1,251): 21.3% vs 9.0% click rate → 2.38×.
• Card 29 vs Card 31 (n=1,278): 21.4% vs 4.5% click rate → 4.81×.
• Card 29 had the lower APR in 100% of these pairwise comparisons.
Interpretation: Card 29 attracts disproportionate click share when strong alternatives are present, but monetises those clicks weakly downstream.</x:v>
      </x:c>
      <x:c r="I16" s="115"/>
      <x:c r="J16" s="115"/>
      <x:c r="K16" s="115"/>
      <x:c r="L16" s="115"/>
    </x:row>
    <x:row r="17" ht="24" customHeight="1">
      <x:c r="B17" s="108"/>
      <x:c r="C17" s="108"/>
      <x:c r="D17" s="108"/>
      <x:c r="E17" s="108"/>
      <x:c r="F17" s="108"/>
      <x:c r="H17" s="115"/>
      <x:c r="I17" s="115"/>
      <x:c r="J17" s="115"/>
      <x:c r="K17" s="115"/>
      <x:c r="L17" s="115"/>
    </x:row>
    <x:row r="18" ht="24" customHeight="1">
      <x:c r="B18" s="108"/>
      <x:c r="C18" s="108"/>
      <x:c r="D18" s="108"/>
      <x:c r="E18" s="108"/>
      <x:c r="F18" s="108"/>
      <x:c r="H18" s="115"/>
      <x:c r="I18" s="115"/>
      <x:c r="J18" s="115"/>
      <x:c r="K18" s="115"/>
      <x:c r="L18" s="115"/>
    </x:row>
    <x:row r="19" ht="24" customHeight="1">
      <x:c r="B19" s="108"/>
      <x:c r="C19" s="108"/>
      <x:c r="D19" s="108"/>
      <x:c r="E19" s="108"/>
      <x:c r="F19" s="108"/>
      <x:c r="H19" s="115"/>
      <x:c r="I19" s="115"/>
      <x:c r="J19" s="115"/>
      <x:c r="K19" s="115"/>
      <x:c r="L19" s="115"/>
    </x:row>
    <x:row r="20" ht="24" customHeight="1">
      <x:c r="B20" s="108"/>
      <x:c r="C20" s="108"/>
      <x:c r="D20" s="108"/>
      <x:c r="E20" s="108"/>
      <x:c r="F20" s="108"/>
      <x:c r="H20" s="115"/>
      <x:c r="I20" s="115"/>
      <x:c r="J20" s="115"/>
      <x:c r="K20" s="115"/>
      <x:c r="L20" s="115"/>
    </x:row>
    <x:row r="21" ht="24" customHeight="1">
      <x:c r="B21" s="108"/>
      <x:c r="C21" s="108"/>
      <x:c r="D21" s="108"/>
      <x:c r="E21" s="108"/>
      <x:c r="F21" s="108"/>
      <x:c r="H21" s="115"/>
      <x:c r="I21" s="115"/>
      <x:c r="J21" s="115"/>
      <x:c r="K21" s="115"/>
      <x:c r="L21" s="115"/>
    </x:row>
    <x:row r="23" ht="22" customHeight="1">
      <x:c r="B23" s="102" t="str">
        <x:v>Conditional intervention and redistribution model</x:v>
      </x:c>
      <x:c r="C23" s="102"/>
      <x:c r="D23" s="102"/>
      <x:c r="E23" s="102"/>
      <x:c r="F23" s="102"/>
      <x:c r="G23" s="102"/>
      <x:c r="H23" s="102"/>
      <x:c r="I23" s="102"/>
      <x:c r="J23" s="102"/>
      <x:c r="K23" s="102"/>
      <x:c r="L23" s="102"/>
    </x:row>
    <x:row r="24" ht="24" customHeight="1">
      <x:c r="B24" s="122" t="str">
        <x:v>Practical intervention
• 398 Card 29 clickers split into 315 with ≥1 alternative and 83 with no alternative.
• Retain Card 29 for the 83 sole-offer clickers; suppress/deprioritise only for the 315 affected applicants.
• 61.3% of affected applicants have multiple cards tied at likelihood rank 1 after suppression, so a deterministic 'next-best-card' assumption is not defensible.</x:v>
      </x:c>
      <x:c r="C24" s="122"/>
      <x:c r="D24" s="122"/>
      <x:c r="E24" s="122"/>
      <x:c r="F24" s="122"/>
      <x:c r="H24" s="122" t="str">
        <x:v>Empirically anchored estimate
• 282 / 315 affected applicants (89.5%) have a post-suppression rank-1 state with ≥10 historical Card-29-absent observations.
• For those 282: 160.97 replacement clicks, 51.45 expected sales and £2,143.64 expected replacement revenue.
• The remaining 33 sparse-state applicants are handled through sensitivity rather than forced into the point estimate.</x:v>
      </x:c>
      <x:c r="I24" s="122"/>
      <x:c r="J24" s="122"/>
      <x:c r="K24" s="122"/>
      <x:c r="L24" s="122"/>
    </x:row>
    <x:row r="25" ht="24" customHeight="1">
      <x:c r="B25" s="122"/>
      <x:c r="C25" s="122"/>
      <x:c r="D25" s="122"/>
      <x:c r="E25" s="122"/>
      <x:c r="F25" s="122"/>
      <x:c r="H25" s="122"/>
      <x:c r="I25" s="122"/>
      <x:c r="J25" s="122"/>
      <x:c r="K25" s="122"/>
      <x:c r="L25" s="122"/>
    </x:row>
    <x:row r="26" ht="24" customHeight="1">
      <x:c r="B26" s="122"/>
      <x:c r="C26" s="122"/>
      <x:c r="D26" s="122"/>
      <x:c r="E26" s="122"/>
      <x:c r="F26" s="122"/>
      <x:c r="H26" s="122"/>
      <x:c r="I26" s="122"/>
      <x:c r="J26" s="122"/>
      <x:c r="K26" s="122"/>
      <x:c r="L26" s="122"/>
    </x:row>
    <x:row r="27" ht="24" customHeight="1">
      <x:c r="B27" s="122"/>
      <x:c r="C27" s="122"/>
      <x:c r="D27" s="122"/>
      <x:c r="E27" s="122"/>
      <x:c r="F27" s="122"/>
      <x:c r="H27" s="122"/>
      <x:c r="I27" s="122"/>
      <x:c r="J27" s="122"/>
      <x:c r="K27" s="122"/>
      <x:c r="L27" s="122"/>
    </x:row>
    <x:row r="28" ht="24" customHeight="1">
      <x:c r="B28" s="122"/>
      <x:c r="C28" s="122"/>
      <x:c r="D28" s="122"/>
      <x:c r="E28" s="122"/>
      <x:c r="F28" s="122"/>
      <x:c r="H28" s="122"/>
      <x:c r="I28" s="122"/>
      <x:c r="J28" s="122"/>
      <x:c r="K28" s="122"/>
      <x:c r="L28" s="122"/>
    </x:row>
    <x:row r="29" ht="24" customHeight="1">
      <x:c r="B29" s="122"/>
      <x:c r="C29" s="122"/>
      <x:c r="D29" s="122"/>
      <x:c r="E29" s="122"/>
      <x:c r="F29" s="122"/>
      <x:c r="H29" s="122"/>
      <x:c r="I29" s="122"/>
      <x:c r="J29" s="122"/>
      <x:c r="K29" s="122"/>
      <x:c r="L29" s="122"/>
    </x:row>
    <x:row r="31" ht="24" customHeight="1">
      <x:c r="B31" s="129" t="str">
        <x:v>Break-even sensitivity
• Break-even depends on two unobserved quantities: retained Card 29 sales among the 83 sole-offer users, and transfer among the residual 33.
• ≥6 retained sales makes break-even achievable if residual transfer is high enough.
• ≥15 retained sales means the supported 282 alone are above break-even.
• Illustrative reference: ~13 retained sales requires only ~14.2% transfer among the residual 33.</x:v>
      </x:c>
      <x:c r="C31" s="129"/>
      <x:c r="D31" s="129"/>
      <x:c r="E31" s="129"/>
      <x:c r="F31" s="129"/>
      <x:c r="H31" s="135" t="str">
        <x:v>Recommendation
Run a controlled conditional suppression/deprioritisation test when Card 29 appears alongside at least one alternative; retain it when it is the only offer.
Primary KPI: revenue per application (current baseline £5.72).
Secondary: sales/application, application clickout, click→sale conversion and redistribution across remaining cards.</x:v>
      </x:c>
      <x:c r="I31" s="135"/>
      <x:c r="J31" s="135"/>
      <x:c r="K31" s="135"/>
      <x:c r="L31" s="135"/>
    </x:row>
    <x:row r="32" ht="24" customHeight="1">
      <x:c r="B32" s="129"/>
      <x:c r="C32" s="129"/>
      <x:c r="D32" s="129"/>
      <x:c r="E32" s="129"/>
      <x:c r="F32" s="129"/>
      <x:c r="H32" s="135"/>
      <x:c r="I32" s="135"/>
      <x:c r="J32" s="135"/>
      <x:c r="K32" s="135"/>
      <x:c r="L32" s="135"/>
    </x:row>
    <x:row r="33" ht="24" customHeight="1">
      <x:c r="B33" s="129"/>
      <x:c r="C33" s="129"/>
      <x:c r="D33" s="129"/>
      <x:c r="E33" s="129"/>
      <x:c r="F33" s="129"/>
      <x:c r="H33" s="135"/>
      <x:c r="I33" s="135"/>
      <x:c r="J33" s="135"/>
      <x:c r="K33" s="135"/>
      <x:c r="L33" s="135"/>
    </x:row>
    <x:row r="34" ht="24" customHeight="1">
      <x:c r="B34" s="129"/>
      <x:c r="C34" s="129"/>
      <x:c r="D34" s="129"/>
      <x:c r="E34" s="129"/>
      <x:c r="F34" s="129"/>
      <x:c r="H34" s="135"/>
      <x:c r="I34" s="135"/>
      <x:c r="J34" s="135"/>
      <x:c r="K34" s="135"/>
      <x:c r="L34" s="135"/>
    </x:row>
    <x:row r="35" ht="24" customHeight="1">
      <x:c r="B35" s="129"/>
      <x:c r="C35" s="129"/>
      <x:c r="D35" s="129"/>
      <x:c r="E35" s="129"/>
      <x:c r="F35" s="129"/>
      <x:c r="H35" s="135"/>
      <x:c r="I35" s="135"/>
      <x:c r="J35" s="135"/>
      <x:c r="K35" s="135"/>
      <x:c r="L35" s="135"/>
    </x:row>
    <x:row r="36" ht="24" customHeight="1">
      <x:c r="B36" s="129"/>
      <x:c r="C36" s="129"/>
      <x:c r="D36" s="129"/>
      <x:c r="E36" s="129"/>
      <x:c r="F36" s="129"/>
      <x:c r="H36" s="135"/>
      <x:c r="I36" s="135"/>
      <x:c r="J36" s="135"/>
      <x:c r="K36" s="135"/>
      <x:c r="L36" s="135"/>
    </x:row>
    <x:row r="38" ht="20" customHeight="1">
      <x:c r="B38" s="142" t="str">
        <x:v>Decision note: counterfactual outputs are modelled estimates, not causal measurements. The supplied data support a controlled test, not an immediate permanent product change.</x:v>
      </x:c>
      <x:c r="C38" s="142"/>
      <x:c r="D38" s="142"/>
      <x:c r="E38" s="142"/>
      <x:c r="F38" s="142"/>
      <x:c r="G38" s="142"/>
      <x:c r="H38" s="142"/>
      <x:c r="I38" s="142"/>
      <x:c r="J38" s="142"/>
      <x:c r="K38" s="142"/>
      <x:c r="L38" s="142"/>
    </x:row>
    <x:row r="39" ht="20" customHeight="1">
      <x:c r="B39" s="142"/>
      <x:c r="C39" s="142"/>
      <x:c r="D39" s="142"/>
      <x:c r="E39" s="142"/>
      <x:c r="F39" s="142"/>
      <x:c r="G39" s="142"/>
      <x:c r="H39" s="142"/>
      <x:c r="I39" s="142"/>
      <x:c r="J39" s="142"/>
      <x:c r="K39" s="142"/>
      <x:c r="L39" s="142"/>
    </x:row>
    <x:row r="41" ht="18" customHeight="1">
      <x:c r="B41" s="147" t="str">
        <x:v>Traceability: 2. Panel Baseline | 3. Card Performance | 4. Card29 Context | 5. Intervention Population | 6. Redistribution Model | 7. Break-even Sensitivity</x:v>
      </x:c>
      <x:c r="C41" s="147"/>
      <x:c r="D41" s="147"/>
      <x:c r="E41" s="147"/>
      <x:c r="F41" s="147"/>
      <x:c r="G41" s="147"/>
      <x:c r="H41" s="147"/>
      <x:c r="I41" s="147"/>
      <x:c r="J41" s="147"/>
      <x:c r="K41" s="147"/>
      <x:c r="L41" s="147"/>
    </x:row>
  </x:sheetData>
  <x:mergeCells>
    <x:mergeCell ref="B2:H3"/>
    <x:mergeCell ref="B2:L3"/>
    <x:mergeCell ref="B4:L4"/>
    <x:mergeCell ref="B10:C10"/>
    <x:mergeCell ref="E10:F10"/>
    <x:mergeCell ref="H10:I10"/>
    <x:mergeCell ref="K10:L10"/>
    <x:mergeCell ref="B11:C12"/>
    <x:mergeCell ref="B13:C13"/>
    <x:mergeCell ref="E11:F12"/>
    <x:mergeCell ref="E13:F13"/>
    <x:mergeCell ref="H11:I12"/>
    <x:mergeCell ref="H13:I13"/>
    <x:mergeCell ref="K11:L12"/>
    <x:mergeCell ref="K13:L13"/>
    <x:mergeCell ref="B15:L15"/>
    <x:mergeCell ref="B16:F21"/>
    <x:mergeCell ref="H16:L21"/>
    <x:mergeCell ref="B23:L23"/>
    <x:mergeCell ref="B24:F29"/>
    <x:mergeCell ref="H24:L29"/>
    <x:mergeCell ref="B31:F36"/>
    <x:mergeCell ref="H31:L36"/>
    <x:mergeCell ref="B38:L39"/>
    <x:mergeCell ref="B41:L41"/>
    <x:mergeCell ref="B6:L6"/>
    <x:mergeCell ref="B7:L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16.6640625" customWidth="1"/>
    <x:col min="2" max="2" width="14.6640625" customWidth="1"/>
    <x:col min="3" max="3" width="22.6640625" customWidth="1"/>
    <x:col min="4" max="4" width="14.6640625" customWidth="1"/>
    <x:col min="5" max="5" width="12.6640625" customWidth="1"/>
    <x:col min="6" max="6" width="16.6640625" customWidth="1"/>
    <x:col min="7" max="7" width="23.6640625" customWidth="1"/>
    <x:col min="8" max="8" width="22.6640625" customWidth="1"/>
    <x:col min="9" max="9" width="20.6640625" customWidth="1"/>
    <x:col min="10" max="10" width="18.6640625" customWidth="1"/>
    <x:col min="11" max="12" width="21.6640625" customWidth="1"/>
  </x:cols>
  <x:sheetData>
    <x:row r="1" ht="3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x:c r="A2" s="2">
        <x:v>3684</x:v>
      </x:c>
      <x:c r="B2" s="2">
        <x:v>9945</x:v>
      </x:c>
      <x:c r="C2" s="2">
        <x:v>1841</x:v>
      </x:c>
      <x:c r="D2" s="2">
        <x:v>1863</x:v>
      </x:c>
      <x:c r="E2" s="2">
        <x:v>555</x:v>
      </x:c>
      <x:c r="F2" s="3">
        <x:v>21087.86</x:v>
      </x:c>
      <x:c r="G2" s="4">
        <x:v>0.499728555917481</x:v>
      </x:c>
      <x:c r="H2" s="4">
        <x:v>0.18733031674208139</x:v>
      </x:c>
      <x:c r="I2" s="4">
        <x:v>0.29790660225442828</x:v>
      </x:c>
      <x:c r="J2" s="3">
        <x:v>11.31930220075148</x:v>
      </x:c>
      <x:c r="K2" s="3">
        <x:v>5.7241748099891421</x:v>
      </x:c>
      <x:c r="L2">
        <x:v>15.06514657980456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5"/>
  <x:cols>
    <x:col min="1" max="1" width="12.6640625" customWidth="1"/>
    <x:col min="2" max="3" width="10.6640625" customWidth="1"/>
    <x:col min="4" max="4" width="18.6640625" customWidth="1"/>
    <x:col min="5" max="5" width="10.6640625" customWidth="1"/>
    <x:col min="6" max="6" width="18.6640625" customWidth="1"/>
    <x:col min="7" max="7" width="14.6640625" customWidth="1"/>
    <x:col min="8" max="10" width="17.6640625" customWidth="1"/>
    <x:col min="11" max="11" width="12.6640625" customWidth="1"/>
    <x:col min="12" max="12" width="16.6640625" customWidth="1"/>
    <x:col min="13" max="13" width="15.6640625" customWidth="1"/>
    <x:col min="14" max="14" width="19.6640625" customWidth="1"/>
  </x:cols>
  <x:sheetData>
    <x:row r="1" ht="34" customHeight="1">
      <x:c r="A1" s="1" t="s">
        <x:v>12</x:v>
      </x:c>
      <x:c r="B1" s="1" t="s">
        <x:v>13</x:v>
      </x:c>
      <x:c r="C1" s="1" t="s">
        <x:v>14</x:v>
      </x:c>
      <x:c r="D1" s="1" t="s">
        <x:v>15</x:v>
      </x:c>
      <x:c r="E1" s="1" t="s">
        <x:v>16</x:v>
      </x:c>
      <x:c r="F1" s="1" t="s">
        <x:v>8</x:v>
      </x:c>
      <x:c r="G1" s="1" t="s">
        <x:v>17</x:v>
      </x:c>
      <x:c r="H1" s="1" t="s">
        <x:v>9</x:v>
      </x:c>
      <x:c r="I1" s="1" t="s">
        <x:v>18</x:v>
      </x:c>
      <x:c r="J1" s="1" t="s">
        <x:v>19</x:v>
      </x:c>
      <x:c r="K1" s="1" t="s">
        <x:v>20</x:v>
      </x:c>
      <x:c r="L1" s="1" t="s">
        <x:v>21</x:v>
      </x:c>
      <x:c r="M1" s="1" t="s">
        <x:v>22</x:v>
      </x:c>
      <x:c r="N1" s="1" t="s">
        <x:v>23</x:v>
      </x:c>
    </x:row>
    <x:row r="2">
      <x:c r="A2" t="s">
        <x:v>24</x:v>
      </x:c>
      <x:c r="B2" s="2">
        <x:v>1596</x:v>
      </x:c>
      <x:c r="C2" s="2">
        <x:v>398</x:v>
      </x:c>
      <x:c r="D2" s="4">
        <x:v>0.2493734335839598</x:v>
      </x:c>
      <x:c r="E2" s="2">
        <x:v>63</x:v>
      </x:c>
      <x:c r="F2" s="4">
        <x:v>0.1582914572864321</x:v>
      </x:c>
      <x:c r="G2" s="3">
        <x:v>2772</x:v>
      </x:c>
      <x:c r="H2" s="3">
        <x:v>6.9648241206030148</x:v>
      </x:c>
      <x:c r="I2" s="3">
        <x:v>1.736842105263158</x:v>
      </x:c>
      <x:c r="J2" s="3">
        <x:v>44</x:v>
      </x:c>
      <x:c r="K2">
        <x:v>29.900000000000869</x:v>
      </x:c>
      <x:c r="L2">
        <x:v>94.11654135338344</x:v>
      </x:c>
      <x:c r="M2">
        <x:v>1.705513784461153</x:v>
      </x:c>
      <x:c r="N2">
        <x:v>1.914160401002506</x:v>
      </x:c>
    </x:row>
    <x:row r="3">
      <x:c r="A3" t="s">
        <x:v>25</x:v>
      </x:c>
      <x:c r="B3" s="2">
        <x:v>1600</x:v>
      </x:c>
      <x:c r="C3" s="2">
        <x:v>281</x:v>
      </x:c>
      <x:c r="D3" s="4">
        <x:v>0.175625</x:v>
      </x:c>
      <x:c r="E3" s="2">
        <x:v>89</x:v>
      </x:c>
      <x:c r="F3" s="4">
        <x:v>0.31672597864768681</x:v>
      </x:c>
      <x:c r="G3" s="3">
        <x:v>3916</x:v>
      </x:c>
      <x:c r="H3" s="3">
        <x:v>13.93594306049822</x:v>
      </x:c>
      <x:c r="I3" s="3">
        <x:v>2.4474999999999998</x:v>
      </x:c>
      <x:c r="J3" s="3">
        <x:v>44</x:v>
      </x:c>
      <x:c r="K3">
        <x:v>32.900000000000922</x:v>
      </x:c>
      <x:c r="L3">
        <x:v>93.087500000000006</x:v>
      </x:c>
      <x:c r="M3">
        <x:v>2.5274999999999999</x:v>
      </x:c>
      <x:c r="N3">
        <x:v>1.8631249999999999</x:v>
      </x:c>
    </x:row>
    <x:row r="4">
      <x:c r="A4" t="s">
        <x:v>26</x:v>
      </x:c>
      <x:c r="B4" s="2">
        <x:v>487</x:v>
      </x:c>
      <x:c r="C4" s="2">
        <x:v>185</x:v>
      </x:c>
      <x:c r="D4" s="4">
        <x:v>0.37987679671457908</x:v>
      </x:c>
      <x:c r="E4" s="2">
        <x:v>65</x:v>
      </x:c>
      <x:c r="F4" s="4">
        <x:v>0.35135135135135132</x:v>
      </x:c>
      <x:c r="G4" s="3">
        <x:v>2210</x:v>
      </x:c>
      <x:c r="H4" s="3">
        <x:v>11.945945945945949</x:v>
      </x:c>
      <x:c r="I4" s="3">
        <x:v>4.537987679671458</x:v>
      </x:c>
      <x:c r="J4" s="3">
        <x:v>34</x:v>
      </x:c>
      <x:c r="K4">
        <x:v>29.899999999999761</x:v>
      </x:c>
      <x:c r="L4">
        <x:v>100</x:v>
      </x:c>
      <x:c r="M4">
        <x:v>1.66735112936345</x:v>
      </x:c>
      <x:c r="N4">
        <x:v>1</x:v>
      </x:c>
    </x:row>
    <x:row r="5">
      <x:c r="A5" t="s">
        <x:v>27</x:v>
      </x:c>
      <x:c r="B5" s="2">
        <x:v>445</x:v>
      </x:c>
      <x:c r="C5" s="2">
        <x:v>122</x:v>
      </x:c>
      <x:c r="D5" s="4">
        <x:v>0.27415730337078648</x:v>
      </x:c>
      <x:c r="E5" s="2">
        <x:v>43</x:v>
      </x:c>
      <x:c r="F5" s="4">
        <x:v>0.35245901639344263</x:v>
      </x:c>
      <x:c r="G5" s="3">
        <x:v>1462</x:v>
      </x:c>
      <x:c r="H5" s="3">
        <x:v>11.983606557377049</x:v>
      </x:c>
      <x:c r="I5" s="3">
        <x:v>3.2853932584269669</x:v>
      </x:c>
      <x:c r="J5" s="3">
        <x:v>34</x:v>
      </x:c>
      <x:c r="K5">
        <x:v>33.899999999999757</x:v>
      </x:c>
      <x:c r="L5">
        <x:v>100</x:v>
      </x:c>
      <x:c r="M5">
        <x:v>3.065168539325843</x:v>
      </x:c>
      <x:c r="N5">
        <x:v>1</x:v>
      </x:c>
    </x:row>
    <x:row r="6">
      <x:c r="A6" t="s">
        <x:v>28</x:v>
      </x:c>
      <x:c r="B6" s="2">
        <x:v>300</x:v>
      </x:c>
      <x:c r="C6" s="2">
        <x:v>92</x:v>
      </x:c>
      <x:c r="D6" s="4">
        <x:v>0.30666666666666659</x:v>
      </x:c>
      <x:c r="E6" s="2">
        <x:v>30</x:v>
      </x:c>
      <x:c r="F6" s="4">
        <x:v>0.32608695652173908</x:v>
      </x:c>
      <x:c r="G6" s="3">
        <x:v>1050</x:v>
      </x:c>
      <x:c r="H6" s="3">
        <x:v>11.413043478260869</x:v>
      </x:c>
      <x:c r="I6" s="3">
        <x:v>3.5</x:v>
      </x:c>
      <x:c r="J6" s="3">
        <x:v>35</x:v>
      </x:c>
      <x:c r="K6">
        <x:v>34.700000000000053</x:v>
      </x:c>
      <x:c r="L6">
        <x:v>100</x:v>
      </x:c>
      <x:c r="M6">
        <x:v>2.253333333333333</x:v>
      </x:c>
      <x:c r="N6">
        <x:v>1</x:v>
      </x:c>
    </x:row>
    <x:row r="7">
      <x:c r="A7" t="s">
        <x:v>29</x:v>
      </x:c>
      <x:c r="B7" s="2">
        <x:v>218</x:v>
      </x:c>
      <x:c r="C7" s="2">
        <x:v>84</x:v>
      </x:c>
      <x:c r="D7" s="4">
        <x:v>0.38532110091743121</x:v>
      </x:c>
      <x:c r="E7" s="2">
        <x:v>30</x:v>
      </x:c>
      <x:c r="F7" s="4">
        <x:v>0.3571428571428571</x:v>
      </x:c>
      <x:c r="G7" s="3">
        <x:v>1020</x:v>
      </x:c>
      <x:c r="H7" s="3">
        <x:v>12.142857142857141</x:v>
      </x:c>
      <x:c r="I7" s="3">
        <x:v>4.6788990825688073</x:v>
      </x:c>
      <x:c r="J7" s="3">
        <x:v>34</x:v>
      </x:c>
      <x:c r="K7">
        <x:v>34.699999999999868</x:v>
      </x:c>
      <x:c r="L7">
        <x:v>100</x:v>
      </x:c>
      <x:c r="M7">
        <x:v>1.972477064220183</x:v>
      </x:c>
      <x:c r="N7">
        <x:v>1</x:v>
      </x:c>
    </x:row>
    <x:row r="8">
      <x:c r="A8" t="s">
        <x:v>30</x:v>
      </x:c>
      <x:c r="B8" s="2">
        <x:v>1458</x:v>
      </x:c>
      <x:c r="C8" s="2">
        <x:v>80</x:v>
      </x:c>
      <x:c r="D8" s="4">
        <x:v>5.4869684499314099E-2</x:v>
      </x:c>
      <x:c r="E8" s="2">
        <x:v>21</x:v>
      </x:c>
      <x:c r="F8" s="4">
        <x:v>0.26250000000000001</x:v>
      </x:c>
      <x:c r="G8" s="3">
        <x:v>924</x:v>
      </x:c>
      <x:c r="H8" s="3">
        <x:v>11.55</x:v>
      </x:c>
      <x:c r="I8" s="3">
        <x:v>0.63374485596707819</x:v>
      </x:c>
      <x:c r="J8" s="3">
        <x:v>44</x:v>
      </x:c>
      <x:c r="K8">
        <x:v>32.900000000000873</x:v>
      </x:c>
      <x:c r="L8">
        <x:v>92.880658436214006</x:v>
      </x:c>
      <x:c r="M8">
        <x:v>2.7085048010973942</x:v>
      </x:c>
      <x:c r="N8">
        <x:v>2.1659807956104249</x:v>
      </x:c>
    </x:row>
    <x:row r="9">
      <x:c r="A9" t="s">
        <x:v>31</x:v>
      </x:c>
      <x:c r="B9" s="2">
        <x:v>183</x:v>
      </x:c>
      <x:c r="C9" s="2">
        <x:v>76</x:v>
      </x:c>
      <x:c r="D9" s="4">
        <x:v>0.41530054644808739</x:v>
      </x:c>
      <x:c r="E9" s="2">
        <x:v>25</x:v>
      </x:c>
      <x:c r="F9" s="4">
        <x:v>0.3289473684210526</x:v>
      </x:c>
      <x:c r="G9" s="3">
        <x:v>875</x:v>
      </x:c>
      <x:c r="H9" s="3">
        <x:v>11.513157894736841</x:v>
      </x:c>
      <x:c r="I9" s="3">
        <x:v>4.7814207650273222</x:v>
      </x:c>
      <x:c r="J9" s="3">
        <x:v>35</x:v>
      </x:c>
      <x:c r="K9">
        <x:v>39.899999999999878</x:v>
      </x:c>
      <x:c r="L9">
        <x:v>100</x:v>
      </x:c>
      <x:c r="M9">
        <x:v>1.715846994535519</x:v>
      </x:c>
      <x:c r="N9">
        <x:v>1</x:v>
      </x:c>
    </x:row>
    <x:row r="10">
      <x:c r="A10" t="s">
        <x:v>32</x:v>
      </x:c>
      <x:c r="B10" s="2">
        <x:v>269</x:v>
      </x:c>
      <x:c r="C10" s="2">
        <x:v>75</x:v>
      </x:c>
      <x:c r="D10" s="4">
        <x:v>0.27881040892193309</x:v>
      </x:c>
      <x:c r="E10" s="2">
        <x:v>33</x:v>
      </x:c>
      <x:c r="F10" s="4">
        <x:v>0.44</x:v>
      </x:c>
      <x:c r="G10" s="3">
        <x:v>1485</x:v>
      </x:c>
      <x:c r="H10" s="3">
        <x:v>19.8</x:v>
      </x:c>
      <x:c r="I10" s="3">
        <x:v>5.5204460966542754</x:v>
      </x:c>
      <x:c r="J10" s="3">
        <x:v>45</x:v>
      </x:c>
      <x:c r="K10">
        <x:v>34</x:v>
      </x:c>
      <x:c r="L10">
        <x:v>100</x:v>
      </x:c>
      <x:c r="M10">
        <x:v>3.550185873605948</x:v>
      </x:c>
      <x:c r="N10">
        <x:v>1</x:v>
      </x:c>
    </x:row>
    <x:row r="11">
      <x:c r="A11" t="s">
        <x:v>33</x:v>
      </x:c>
      <x:c r="B11" s="2">
        <x:v>229</x:v>
      </x:c>
      <x:c r="C11" s="2">
        <x:v>65</x:v>
      </x:c>
      <x:c r="D11" s="4">
        <x:v>0.28384279475982532</x:v>
      </x:c>
      <x:c r="E11" s="2">
        <x:v>31</x:v>
      </x:c>
      <x:c r="F11" s="4">
        <x:v>0.47692307692307689</x:v>
      </x:c>
      <x:c r="G11" s="3">
        <x:v>1085</x:v>
      </x:c>
      <x:c r="H11" s="3">
        <x:v>16.692307692307701</x:v>
      </x:c>
      <x:c r="I11" s="3">
        <x:v>4.7379912663755466</x:v>
      </x:c>
      <x:c r="J11" s="3">
        <x:v>35.000000000000007</x:v>
      </x:c>
      <x:c r="K11">
        <x:v>29.300000000000111</x:v>
      </x:c>
      <x:c r="L11">
        <x:v>99.956331877729255</x:v>
      </x:c>
      <x:c r="M11">
        <x:v>2.0786026200873362</x:v>
      </x:c>
      <x:c r="N11">
        <x:v>1.0131004366812231</x:v>
      </x:c>
    </x:row>
    <x:row r="12">
      <x:c r="A12" t="s">
        <x:v>34</x:v>
      </x:c>
      <x:c r="B12" s="2">
        <x:v>301</x:v>
      </x:c>
      <x:c r="C12" s="2">
        <x:v>63</x:v>
      </x:c>
      <x:c r="D12" s="4">
        <x:v>0.2093023255813953</x:v>
      </x:c>
      <x:c r="E12" s="2">
        <x:v>21</x:v>
      </x:c>
      <x:c r="F12" s="4">
        <x:v>0.33333333333333331</x:v>
      </x:c>
      <x:c r="G12" s="3">
        <x:v>735</x:v>
      </x:c>
      <x:c r="H12" s="3">
        <x:v>11.66666666666667</x:v>
      </x:c>
      <x:c r="I12" s="3">
        <x:v>2.441860465116279</x:v>
      </x:c>
      <x:c r="J12" s="3">
        <x:v>35</x:v>
      </x:c>
      <x:c r="K12">
        <x:v>33.899999999999807</x:v>
      </x:c>
      <x:c r="L12">
        <x:v>100</x:v>
      </x:c>
      <x:c r="M12">
        <x:v>3.3953488372093021</x:v>
      </x:c>
      <x:c r="N12">
        <x:v>1</x:v>
      </x:c>
    </x:row>
    <x:row r="13">
      <x:c r="A13" t="s">
        <x:v>35</x:v>
      </x:c>
      <x:c r="B13" s="2">
        <x:v>428</x:v>
      </x:c>
      <x:c r="C13" s="2">
        <x:v>62</x:v>
      </x:c>
      <x:c r="D13" s="4">
        <x:v>0.14485981308411211</x:v>
      </x:c>
      <x:c r="E13" s="2">
        <x:v>15</x:v>
      </x:c>
      <x:c r="F13" s="4">
        <x:v>0.24193548387096769</x:v>
      </x:c>
      <x:c r="G13" s="3">
        <x:v>525</x:v>
      </x:c>
      <x:c r="H13" s="3">
        <x:v>8.4677419354838701</x:v>
      </x:c>
      <x:c r="I13" s="3">
        <x:v>1.226635514018692</x:v>
      </x:c>
      <x:c r="J13" s="3">
        <x:v>35</x:v>
      </x:c>
      <x:c r="K13">
        <x:v>59.900000000000361</x:v>
      </x:c>
      <x:c r="L13">
        <x:v>99.988317757009341</x:v>
      </x:c>
      <x:c r="M13">
        <x:v>3.3504672897196262</x:v>
      </x:c>
      <x:c r="N13">
        <x:v>1.002336448598131</x:v>
      </x:c>
    </x:row>
    <x:row r="14">
      <x:c r="A14" t="s">
        <x:v>36</x:v>
      </x:c>
      <x:c r="B14" s="2">
        <x:v>224</x:v>
      </x:c>
      <x:c r="C14" s="2">
        <x:v>61</x:v>
      </x:c>
      <x:c r="D14" s="4">
        <x:v>0.27232142857142849</x:v>
      </x:c>
      <x:c r="E14" s="2">
        <x:v>22</x:v>
      </x:c>
      <x:c r="F14" s="4">
        <x:v>0.36065573770491799</x:v>
      </x:c>
      <x:c r="G14" s="3">
        <x:v>990</x:v>
      </x:c>
      <x:c r="H14" s="3">
        <x:v>16.229508196721309</x:v>
      </x:c>
      <x:c r="I14" s="3">
        <x:v>4.4196428571428568</x:v>
      </x:c>
      <x:c r="J14" s="3">
        <x:v>45</x:v>
      </x:c>
      <x:c r="K14">
        <x:v>49</x:v>
      </x:c>
      <x:c r="L14">
        <x:v>100</x:v>
      </x:c>
      <x:c r="M14">
        <x:v>2.3348214285714279</x:v>
      </x:c>
      <x:c r="N14">
        <x:v>1</x:v>
      </x:c>
    </x:row>
    <x:row r="15">
      <x:c r="A15" t="s">
        <x:v>37</x:v>
      </x:c>
      <x:c r="B15" s="2">
        <x:v>239</x:v>
      </x:c>
      <x:c r="C15" s="2">
        <x:v>49</x:v>
      </x:c>
      <x:c r="D15" s="4">
        <x:v>0.205020920502092</x:v>
      </x:c>
      <x:c r="E15" s="2">
        <x:v>23</x:v>
      </x:c>
      <x:c r="F15" s="4">
        <x:v>0.46938775510204078</x:v>
      </x:c>
      <x:c r="G15" s="3">
        <x:v>643.99999999999989</x:v>
      </x:c>
      <x:c r="H15" s="3">
        <x:v>13.142857142857141</x:v>
      </x:c>
      <x:c r="I15" s="3">
        <x:v>2.6945606694560662</x:v>
      </x:c>
      <x:c r="J15" s="3">
        <x:v>28</x:v>
      </x:c>
      <x:c r="K15">
        <x:v>39.899999999999821</x:v>
      </x:c>
      <x:c r="L15">
        <x:v>100</x:v>
      </x:c>
      <x:c r="M15">
        <x:v>3.514644351464435</x:v>
      </x:c>
      <x:c r="N15">
        <x:v>1</x:v>
      </x:c>
    </x:row>
    <x:row r="16">
      <x:c r="A16" t="s">
        <x:v>38</x:v>
      </x:c>
      <x:c r="B16" s="2">
        <x:v>68</x:v>
      </x:c>
      <x:c r="C16" s="2">
        <x:v>29</x:v>
      </x:c>
      <x:c r="D16" s="4">
        <x:v>0.4264705882352941</x:v>
      </x:c>
      <x:c r="E16" s="2">
        <x:v>11</x:v>
      </x:c>
      <x:c r="F16" s="4">
        <x:v>0.37931034482758619</x:v>
      </x:c>
      <x:c r="G16" s="3">
        <x:v>374</x:v>
      </x:c>
      <x:c r="H16" s="3">
        <x:v>12.896551724137931</x:v>
      </x:c>
      <x:c r="I16" s="3">
        <x:v>5.5</x:v>
      </x:c>
      <x:c r="J16" s="3">
        <x:v>34</x:v>
      </x:c>
      <x:c r="K16">
        <x:v>34.900000000000041</x:v>
      </x:c>
      <x:c r="L16">
        <x:v>100</x:v>
      </x:c>
      <x:c r="M16">
        <x:v>2.0147058823529411</x:v>
      </x:c>
      <x:c r="N16">
        <x:v>1</x:v>
      </x:c>
    </x:row>
    <x:row r="17">
      <x:c r="A17" t="s">
        <x:v>39</x:v>
      </x:c>
      <x:c r="B17" s="2">
        <x:v>213</x:v>
      </x:c>
      <x:c r="C17" s="2">
        <x:v>24</x:v>
      </x:c>
      <x:c r="D17" s="4">
        <x:v>0.1126760563380281</x:v>
      </x:c>
      <x:c r="E17" s="2">
        <x:v>11</x:v>
      </x:c>
      <x:c r="F17" s="4">
        <x:v>0.45833333333333331</x:v>
      </x:c>
      <x:c r="G17" s="3">
        <x:v>352</x:v>
      </x:c>
      <x:c r="H17" s="3">
        <x:v>14.66666666666667</x:v>
      </x:c>
      <x:c r="I17" s="3">
        <x:v>1.652582159624413</x:v>
      </x:c>
      <x:c r="J17" s="3">
        <x:v>32</x:v>
      </x:c>
      <x:c r="K17">
        <x:v>29.300000000000111</x:v>
      </x:c>
      <x:c r="L17">
        <x:v>100</x:v>
      </x:c>
      <x:c r="M17">
        <x:v>2.150234741784038</x:v>
      </x:c>
      <x:c r="N17">
        <x:v>1</x:v>
      </x:c>
    </x:row>
    <x:row r="18">
      <x:c r="A18" t="s">
        <x:v>40</x:v>
      </x:c>
      <x:c r="B18" s="2">
        <x:v>109</x:v>
      </x:c>
      <x:c r="C18" s="2">
        <x:v>19</x:v>
      </x:c>
      <x:c r="D18" s="4">
        <x:v>0.1743119266055046</x:v>
      </x:c>
      <x:c r="E18" s="2">
        <x:v>0</x:v>
      </x:c>
      <x:c r="F18" s="4">
        <x:v>0</x:v>
      </x:c>
      <x:c r="G18" s="3">
        <x:v>0</x:v>
      </x:c>
      <x:c r="H18" s="3">
        <x:v>0</x:v>
      </x:c>
      <x:c r="I18" s="3">
        <x:v>0</x:v>
      </x:c>
      <x:c r="J18" s="3"/>
      <x:c r="K18">
        <x:v>12.90000000000002</x:v>
      </x:c>
      <x:c r="L18">
        <x:v>77.798165137614674</x:v>
      </x:c>
      <x:c r="M18">
        <x:v>1</x:v>
      </x:c>
      <x:c r="N18">
        <x:v>3.6788990825688068</x:v>
      </x:c>
    </x:row>
    <x:row r="19">
      <x:c r="A19" t="s">
        <x:v>41</x:v>
      </x:c>
      <x:c r="B19" s="2">
        <x:v>71</x:v>
      </x:c>
      <x:c r="C19" s="2">
        <x:v>17</x:v>
      </x:c>
      <x:c r="D19" s="4">
        <x:v>0.23943661971830979</x:v>
      </x:c>
      <x:c r="E19" s="2">
        <x:v>3</x:v>
      </x:c>
      <x:c r="F19" s="4">
        <x:v>0.1764705882352941</x:v>
      </x:c>
      <x:c r="G19" s="3">
        <x:v>105</x:v>
      </x:c>
      <x:c r="H19" s="3">
        <x:v>6.1764705882352962</x:v>
      </x:c>
      <x:c r="I19" s="3">
        <x:v>1.47887323943662</x:v>
      </x:c>
      <x:c r="J19" s="3">
        <x:v>35.000000000000007</x:v>
      </x:c>
      <x:c r="K19">
        <x:v>21.90000000000002</x:v>
      </x:c>
      <x:c r="L19">
        <x:v>90</x:v>
      </x:c>
      <x:c r="M19">
        <x:v>1.183098591549296</x:v>
      </x:c>
      <x:c r="N19">
        <x:v>4.197183098591549</x:v>
      </x:c>
    </x:row>
    <x:row r="20">
      <x:c r="A20" t="s">
        <x:v>42</x:v>
      </x:c>
      <x:c r="B20" s="2">
        <x:v>168</x:v>
      </x:c>
      <x:c r="C20" s="2">
        <x:v>14</x:v>
      </x:c>
      <x:c r="D20" s="4">
        <x:v>8.3333333333333301E-2</x:v>
      </x:c>
      <x:c r="E20" s="2">
        <x:v>1</x:v>
      </x:c>
      <x:c r="F20" s="4">
        <x:v>7.1428571428571397E-2</x:v>
      </x:c>
      <x:c r="G20" s="3">
        <x:v>35</x:v>
      </x:c>
      <x:c r="H20" s="3">
        <x:v>2.5</x:v>
      </x:c>
      <x:c r="I20" s="3">
        <x:v>0.20833333333333329</x:v>
      </x:c>
      <x:c r="J20" s="3">
        <x:v>35</x:v>
      </x:c>
      <x:c r="K20">
        <x:v>21.900000000000059</x:v>
      </x:c>
      <x:c r="L20">
        <x:v>62.083333333333343</x:v>
      </x:c>
      <x:c r="M20">
        <x:v>1.4226190476190479</x:v>
      </x:c>
      <x:c r="N20">
        <x:v>5.8630952380952381</x:v>
      </x:c>
    </x:row>
    <x:row r="21">
      <x:c r="A21" t="s">
        <x:v>43</x:v>
      </x:c>
      <x:c r="B21" s="2">
        <x:v>145</x:v>
      </x:c>
      <x:c r="C21" s="2">
        <x:v>13</x:v>
      </x:c>
      <x:c r="D21" s="4">
        <x:v>8.9655172413793102E-2</x:v>
      </x:c>
      <x:c r="E21" s="2">
        <x:v>2</x:v>
      </x:c>
      <x:c r="F21" s="4">
        <x:v>0.1538461538461538</x:v>
      </x:c>
      <x:c r="G21" s="3">
        <x:v>40</x:v>
      </x:c>
      <x:c r="H21" s="3">
        <x:v>3.0769230769230771</x:v>
      </x:c>
      <x:c r="I21" s="3">
        <x:v>0.27586206896551718</x:v>
      </x:c>
      <x:c r="J21" s="3">
        <x:v>20</x:v>
      </x:c>
      <x:c r="K21">
        <x:v>24.699999999999939</x:v>
      </x:c>
      <x:c r="L21">
        <x:v>82.34482758620689</x:v>
      </x:c>
      <x:c r="M21">
        <x:v>4.9586206896551728</x:v>
      </x:c>
      <x:c r="N21">
        <x:v>3.489655172413793</x:v>
      </x:c>
    </x:row>
    <x:row r="22">
      <x:c r="A22" t="s">
        <x:v>44</x:v>
      </x:c>
      <x:c r="B22" s="2">
        <x:v>147</x:v>
      </x:c>
      <x:c r="C22" s="2">
        <x:v>9</x:v>
      </x:c>
      <x:c r="D22" s="4">
        <x:v>6.1224489795918297E-2</x:v>
      </x:c>
      <x:c r="E22" s="2">
        <x:v>3</x:v>
      </x:c>
      <x:c r="F22" s="4">
        <x:v>0.33333333333333331</x:v>
      </x:c>
      <x:c r="G22" s="3">
        <x:v>70.02</x:v>
      </x:c>
      <x:c r="H22" s="3">
        <x:v>7.7799999999999994</x:v>
      </x:c>
      <x:c r="I22" s="3">
        <x:v>0.47632653061224489</x:v>
      </x:c>
      <x:c r="J22" s="3">
        <x:v>23.34</x:v>
      </x:c>
      <x:c r="K22">
        <x:v>21.900000000000059</x:v>
      </x:c>
      <x:c r="L22">
        <x:v>80.850340136054427</x:v>
      </x:c>
      <x:c r="M22">
        <x:v>1.408163265306122</x:v>
      </x:c>
      <x:c r="N22">
        <x:v>3.6258503401360538</x:v>
      </x:c>
    </x:row>
    <x:row r="23">
      <x:c r="A23" t="s">
        <x:v>45</x:v>
      </x:c>
      <x:c r="B23" s="2">
        <x:v>45</x:v>
      </x:c>
      <x:c r="C23" s="2">
        <x:v>8</x:v>
      </x:c>
      <x:c r="D23" s="4">
        <x:v>0.1777777777777777</x:v>
      </x:c>
      <x:c r="E23" s="2">
        <x:v>3</x:v>
      </x:c>
      <x:c r="F23" s="4">
        <x:v>0.375</x:v>
      </x:c>
      <x:c r="G23" s="3">
        <x:v>105</x:v>
      </x:c>
      <x:c r="H23" s="3">
        <x:v>13.125</x:v>
      </x:c>
      <x:c r="I23" s="3">
        <x:v>2.333333333333333</x:v>
      </x:c>
      <x:c r="J23" s="3">
        <x:v>35</x:v>
      </x:c>
      <x:c r="K23">
        <x:v>29.299999999999979</x:v>
      </x:c>
      <x:c r="L23">
        <x:v>100</x:v>
      </x:c>
      <x:c r="M23">
        <x:v>2.5555555555555549</x:v>
      </x:c>
      <x:c r="N23">
        <x:v>1</x:v>
      </x:c>
    </x:row>
    <x:row r="24">
      <x:c r="A24" t="s">
        <x:v>46</x:v>
      </x:c>
      <x:c r="B24" s="2">
        <x:v>129</x:v>
      </x:c>
      <x:c r="C24" s="2">
        <x:v>7</x:v>
      </x:c>
      <x:c r="D24" s="4">
        <x:v>5.4263565891472798E-2</x:v>
      </x:c>
      <x:c r="E24" s="2">
        <x:v>3</x:v>
      </x:c>
      <x:c r="F24" s="4">
        <x:v>0.42857142857142849</x:v>
      </x:c>
      <x:c r="G24" s="3">
        <x:v>105</x:v>
      </x:c>
      <x:c r="H24" s="3">
        <x:v>15</x:v>
      </x:c>
      <x:c r="I24" s="3">
        <x:v>0.81395348837209303</x:v>
      </x:c>
      <x:c r="J24" s="3">
        <x:v>35</x:v>
      </x:c>
      <x:c r="K24">
        <x:v>39.899999999999977</x:v>
      </x:c>
      <x:c r="L24">
        <x:v>100</x:v>
      </x:c>
      <x:c r="M24">
        <x:v>3.7906976744186052</x:v>
      </x:c>
      <x:c r="N24">
        <x:v>1</x:v>
      </x:c>
    </x:row>
    <x:row r="25">
      <x:c r="A25" t="s">
        <x:v>47</x:v>
      </x:c>
      <x:c r="B25" s="2">
        <x:v>109</x:v>
      </x:c>
      <x:c r="C25" s="2">
        <x:v>6</x:v>
      </x:c>
      <x:c r="D25" s="4">
        <x:v>5.5045871559633003E-2</x:v>
      </x:c>
      <x:c r="E25" s="2">
        <x:v>0</x:v>
      </x:c>
      <x:c r="F25" s="4">
        <x:v>0</x:v>
      </x:c>
      <x:c r="G25" s="3">
        <x:v>0</x:v>
      </x:c>
      <x:c r="H25" s="3">
        <x:v>0</x:v>
      </x:c>
      <x:c r="I25" s="3">
        <x:v>0</x:v>
      </x:c>
      <x:c r="J25" s="3"/>
      <x:c r="K25">
        <x:v>21.900000000000041</x:v>
      </x:c>
      <x:c r="L25">
        <x:v>77.798165137614674</x:v>
      </x:c>
      <x:c r="M25">
        <x:v>2.0642201834862379</x:v>
      </x:c>
      <x:c r="N25">
        <x:v>3.6788990825688068</x:v>
      </x:c>
    </x:row>
    <x:row r="26">
      <x:c r="A26" t="s">
        <x:v>48</x:v>
      </x:c>
      <x:c r="B26" s="2">
        <x:v>168</x:v>
      </x:c>
      <x:c r="C26" s="2">
        <x:v>5</x:v>
      </x:c>
      <x:c r="D26" s="4">
        <x:v>2.9761904761904701E-2</x:v>
      </x:c>
      <x:c r="E26" s="2">
        <x:v>1</x:v>
      </x:c>
      <x:c r="F26" s="4">
        <x:v>0.2</x:v>
      </x:c>
      <x:c r="G26" s="3">
        <x:v>35</x:v>
      </x:c>
      <x:c r="H26" s="3">
        <x:v>7</x:v>
      </x:c>
      <x:c r="I26" s="3">
        <x:v>0.20833333333333329</x:v>
      </x:c>
      <x:c r="J26" s="3">
        <x:v>35</x:v>
      </x:c>
      <x:c r="K26">
        <x:v>22.900000000000059</x:v>
      </x:c>
      <x:c r="L26">
        <x:v>62.083333333333343</x:v>
      </x:c>
      <x:c r="M26">
        <x:v>3.875</x:v>
      </x:c>
      <x:c r="N26">
        <x:v>5.8630952380952381</x:v>
      </x:c>
    </x:row>
    <x:row r="27">
      <x:c r="A27" t="s">
        <x:v>49</x:v>
      </x:c>
      <x:c r="B27" s="2">
        <x:v>95</x:v>
      </x:c>
      <x:c r="C27" s="2">
        <x:v>5</x:v>
      </x:c>
      <x:c r="D27" s="4">
        <x:v>5.2631578947368397E-2</x:v>
      </x:c>
      <x:c r="E27" s="2">
        <x:v>1</x:v>
      </x:c>
      <x:c r="F27" s="4">
        <x:v>0.2</x:v>
      </x:c>
      <x:c r="G27" s="3">
        <x:v>27.500000000000011</x:v>
      </x:c>
      <x:c r="H27" s="3">
        <x:v>5.5000000000000018</x:v>
      </x:c>
      <x:c r="I27" s="3">
        <x:v>0.28947368421052638</x:v>
      </x:c>
      <x:c r="J27" s="3">
        <x:v>27.500000000000011</x:v>
      </x:c>
      <x:c r="K27">
        <x:v>19.900000000000031</x:v>
      </x:c>
      <x:c r="L27">
        <x:v>90.473684210526315</x:v>
      </x:c>
      <x:c r="M27">
        <x:v>1.08421052631579</x:v>
      </x:c>
      <x:c r="N27">
        <x:v>5.6</x:v>
      </x:c>
    </x:row>
    <x:row r="28">
      <x:c r="A28" t="s">
        <x:v>50</x:v>
      </x:c>
      <x:c r="B28" s="2">
        <x:v>39</x:v>
      </x:c>
      <x:c r="C28" s="2">
        <x:v>5</x:v>
      </x:c>
      <x:c r="D28" s="4">
        <x:v>0.12820512820512819</x:v>
      </x:c>
      <x:c r="E28" s="2">
        <x:v>2</x:v>
      </x:c>
      <x:c r="F28" s="4">
        <x:v>0.4</x:v>
      </x:c>
      <x:c r="G28" s="3">
        <x:v>68</x:v>
      </x:c>
      <x:c r="H28" s="3">
        <x:v>13.6</x:v>
      </x:c>
      <x:c r="I28" s="3">
        <x:v>1.7435897435897441</x:v>
      </x:c>
      <x:c r="J28" s="3">
        <x:v>34</x:v>
      </x:c>
      <x:c r="K28">
        <x:v>27.899999999999991</x:v>
      </x:c>
      <x:c r="L28">
        <x:v>100</x:v>
      </x:c>
      <x:c r="M28">
        <x:v>4.7435897435897436</x:v>
      </x:c>
      <x:c r="N28">
        <x:v>1</x:v>
      </x:c>
    </x:row>
    <x:row r="29">
      <x:c r="A29" t="s">
        <x:v>51</x:v>
      </x:c>
      <x:c r="B29" s="2">
        <x:v>109</x:v>
      </x:c>
      <x:c r="C29" s="2">
        <x:v>3</x:v>
      </x:c>
      <x:c r="D29" s="4">
        <x:v>2.7522935779816501E-2</x:v>
      </x:c>
      <x:c r="E29" s="2">
        <x:v>0</x:v>
      </x:c>
      <x:c r="F29" s="4">
        <x:v>0</x:v>
      </x:c>
      <x:c r="G29" s="3">
        <x:v>0</x:v>
      </x:c>
      <x:c r="H29" s="3">
        <x:v>0</x:v>
      </x:c>
      <x:c r="I29" s="3">
        <x:v>0</x:v>
      </x:c>
      <x:c r="J29" s="3"/>
      <x:c r="K29">
        <x:v>26.800000000000029</x:v>
      </x:c>
      <x:c r="L29">
        <x:v>77.798165137614674</x:v>
      </x:c>
      <x:c r="M29">
        <x:v>3.761467889908257</x:v>
      </x:c>
      <x:c r="N29">
        <x:v>3.6788990825688068</x:v>
      </x:c>
    </x:row>
    <x:row r="30">
      <x:c r="A30" t="s">
        <x:v>52</x:v>
      </x:c>
      <x:c r="B30" s="2">
        <x:v>76</x:v>
      </x:c>
      <x:c r="C30" s="2">
        <x:v>2</x:v>
      </x:c>
      <x:c r="D30" s="4">
        <x:v>2.6315789473684199E-2</x:v>
      </x:c>
      <x:c r="E30" s="2">
        <x:v>1</x:v>
      </x:c>
      <x:c r="F30" s="4">
        <x:v>0.5</x:v>
      </x:c>
      <x:c r="G30" s="3">
        <x:v>27.5</x:v>
      </x:c>
      <x:c r="H30" s="3">
        <x:v>13.75</x:v>
      </x:c>
      <x:c r="I30" s="3">
        <x:v>0.36184210526315791</x:v>
      </x:c>
      <x:c r="J30" s="3">
        <x:v>27.5</x:v>
      </x:c>
      <x:c r="K30">
        <x:v>21.90000000000002</x:v>
      </x:c>
      <x:c r="L30">
        <x:v>87.30263157894737</x:v>
      </x:c>
      <x:c r="M30">
        <x:v>2.1052631578947372</x:v>
      </x:c>
      <x:c r="N30">
        <x:v>5.3947368421052628</x:v>
      </x:c>
    </x:row>
    <x:row r="31">
      <x:c r="A31" t="s">
        <x:v>53</x:v>
      </x:c>
      <x:c r="B31" s="2">
        <x:v>91</x:v>
      </x:c>
      <x:c r="C31" s="2">
        <x:v>2</x:v>
      </x:c>
      <x:c r="D31" s="4">
        <x:v>2.19780219780219E-2</x:v>
      </x:c>
      <x:c r="E31" s="2">
        <x:v>1</x:v>
      </x:c>
      <x:c r="F31" s="4">
        <x:v>0.5</x:v>
      </x:c>
      <x:c r="G31" s="3">
        <x:v>27.5</x:v>
      </x:c>
      <x:c r="H31" s="3">
        <x:v>13.75</x:v>
      </x:c>
      <x:c r="I31" s="3">
        <x:v>0.30219780219780218</x:v>
      </x:c>
      <x:c r="J31" s="3">
        <x:v>27.5</x:v>
      </x:c>
      <x:c r="K31">
        <x:v>21.900000000000041</x:v>
      </x:c>
      <x:c r="L31">
        <x:v>84.285714285714292</x:v>
      </x:c>
      <x:c r="M31">
        <x:v>2.087912087912088</x:v>
      </x:c>
      <x:c r="N31">
        <x:v>7.4725274725274726</x:v>
      </x:c>
    </x:row>
    <x:row r="32">
      <x:c r="A32" t="s">
        <x:v>54</x:v>
      </x:c>
      <x:c r="B32" s="2">
        <x:v>147</x:v>
      </x:c>
      <x:c r="C32" s="2">
        <x:v>2</x:v>
      </x:c>
      <x:c r="D32" s="4">
        <x:v>1.3605442176870699E-2</x:v>
      </x:c>
      <x:c r="E32" s="2">
        <x:v>1</x:v>
      </x:c>
      <x:c r="F32" s="4">
        <x:v>0.5</x:v>
      </x:c>
      <x:c r="G32" s="3">
        <x:v>23.34</x:v>
      </x:c>
      <x:c r="H32" s="3">
        <x:v>11.67</x:v>
      </x:c>
      <x:c r="I32" s="3">
        <x:v>0.15877551020408159</x:v>
      </x:c>
      <x:c r="J32" s="3">
        <x:v>23.34</x:v>
      </x:c>
      <x:c r="K32">
        <x:v>21.900000000000059</x:v>
      </x:c>
      <x:c r="L32">
        <x:v>80.850340136054427</x:v>
      </x:c>
      <x:c r="M32">
        <x:v>1.408163265306122</x:v>
      </x:c>
      <x:c r="N32">
        <x:v>3.6258503401360538</x:v>
      </x:c>
    </x:row>
    <x:row r="33">
      <x:c r="A33" t="s">
        <x:v>55</x:v>
      </x:c>
      <x:c r="B33" s="2">
        <x:v>13</x:v>
      </x:c>
      <x:c r="C33" s="2">
        <x:v>0</x:v>
      </x:c>
      <x:c r="D33" s="4">
        <x:v>0</x:v>
      </x:c>
      <x:c r="E33" s="2">
        <x:v>0</x:v>
      </x:c>
      <x:c r="F33" s="4"/>
      <x:c r="G33" s="3">
        <x:v>0</x:v>
      </x:c>
      <x:c r="H33" s="3"/>
      <x:c r="I33" s="3">
        <x:v>0</x:v>
      </x:c>
      <x:c r="J33" s="3"/>
      <x:c r="K33">
        <x:v>26.800000000000011</x:v>
      </x:c>
      <x:c r="L33">
        <x:v>83.84615384615384</x:v>
      </x:c>
      <x:c r="M33">
        <x:v>4.3076923076923066</x:v>
      </x:c>
      <x:c r="N33">
        <x:v>4.3076923076923066</x:v>
      </x:c>
    </x:row>
    <x:row r="34">
      <x:c r="A34" t="s">
        <x:v>56</x:v>
      </x:c>
      <x:c r="B34" s="2">
        <x:v>13</x:v>
      </x:c>
      <x:c r="C34" s="2">
        <x:v>0</x:v>
      </x:c>
      <x:c r="D34" s="4">
        <x:v>0</x:v>
      </x:c>
      <x:c r="E34" s="2">
        <x:v>0</x:v>
      </x:c>
      <x:c r="F34" s="4"/>
      <x:c r="G34" s="3">
        <x:v>0</x:v>
      </x:c>
      <x:c r="H34" s="3"/>
      <x:c r="I34" s="3">
        <x:v>0</x:v>
      </x:c>
      <x:c r="J34" s="3"/>
      <x:c r="K34">
        <x:v>21.9</x:v>
      </x:c>
      <x:c r="L34">
        <x:v>83.84615384615384</x:v>
      </x:c>
      <x:c r="M34">
        <x:v>2.0769230769230771</x:v>
      </x:c>
      <x:c r="N34">
        <x:v>4.3076923076923066</x:v>
      </x:c>
    </x:row>
    <x:row r="35">
      <x:c r="A35" t="s">
        <x:v>57</x:v>
      </x:c>
      <x:c r="B35" s="2">
        <x:v>13</x:v>
      </x:c>
      <x:c r="C35" s="2">
        <x:v>0</x:v>
      </x:c>
      <x:c r="D35" s="4">
        <x:v>0</x:v>
      </x:c>
      <x:c r="E35" s="2">
        <x:v>0</x:v>
      </x:c>
      <x:c r="F35" s="4"/>
      <x:c r="G35" s="3">
        <x:v>0</x:v>
      </x:c>
      <x:c r="H35" s="3"/>
      <x:c r="I35" s="3">
        <x:v>0</x:v>
      </x:c>
      <x:c r="J35" s="3"/>
      <x:c r="K35">
        <x:v>12.9</x:v>
      </x:c>
      <x:c r="L35">
        <x:v>83.84615384615384</x:v>
      </x:c>
      <x:c r="M35">
        <x:v>1</x:v>
      </x:c>
      <x:c r="N35">
        <x:v>4.3076923076923066</x:v>
      </x:c>
    </x:row>
  </x:sheetData>
  <x:conditionalFormatting sqref="A2:N35">
    <x:cfRule type="expression" dxfId="2" priority="1">
      <x:formula>OR($A2="Card 29",$A2=29)</x:formula>
    </x:cfRule>
    <x:cfRule type="expression" dxfId="1" priority="2">
      <x:formula>OR($A2="Card 30",$A2=30,$A2="Card 31",$A2=31)</x:formula>
    </x:cfRule>
  </x:conditionalFormatting>
  <x:conditionalFormatting sqref="C2:C35">
    <x:cfRule type="dataBar" priority="3">
      <x:dataBar>
        <x:cfvo type="min"/>
        <x:cfvo type="max"/>
        <x:color rgb="FF6BAED6"/>
      </x:dataBar>
    </x:cfRule>
  </x:conditionalFormatting>
  <x:conditionalFormatting sqref="H2:H35">
    <x:cfRule type="dataBar" priority="4">
      <x:dataBar>
        <x:cfvo type="min"/>
        <x:cfvo type="max"/>
        <x:color rgb="FF74C69D"/>
      </x:dataBar>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5"/>
  <x:cols>
    <x:col min="1" max="1" width="16.6640625" customWidth="1"/>
    <x:col min="2" max="2" width="20.6640625" customWidth="1"/>
    <x:col min="3" max="3" width="16.6640625" customWidth="1"/>
    <x:col min="4" max="4" width="18.6640625" customWidth="1"/>
    <x:col min="5" max="5" width="19.6640625" customWidth="1"/>
    <x:col min="6" max="6" width="20.6640625" customWidth="1"/>
    <x:col min="7" max="7" width="18.6640625" customWidth="1"/>
    <x:col min="8" max="8" width="21.6640625" customWidth="1"/>
    <x:col min="9" max="9" width="25.6640625" customWidth="1"/>
    <x:col min="10" max="10" width="21.6640625" customWidth="1"/>
  </x:cols>
  <x:sheetData>
    <x:row r="1" ht="38" customHeight="1">
      <x:c r="A1" s="1" t="s">
        <x:v>58</x:v>
      </x:c>
      <x:c r="B1" s="1" t="s">
        <x:v>59</x:v>
      </x:c>
      <x:c r="C1" s="1" t="s">
        <x:v>60</x:v>
      </x:c>
      <x:c r="D1" s="1" t="s">
        <x:v>61</x:v>
      </x:c>
      <x:c r="E1" s="1" t="s">
        <x:v>62</x:v>
      </x:c>
      <x:c r="F1" s="1" t="s">
        <x:v>63</x:v>
      </x:c>
      <x:c r="G1" s="1" t="s">
        <x:v>64</x:v>
      </x:c>
      <x:c r="H1" s="1" t="s">
        <x:v>65</x:v>
      </x:c>
      <x:c r="I1" s="1" t="s">
        <x:v>66</x:v>
      </x:c>
      <x:c r="J1" s="1" t="s">
        <x:v>67</x:v>
      </x:c>
    </x:row>
    <x:row r="2">
      <x:c r="A2" t="s">
        <x:v>30</x:v>
      </x:c>
      <x:c r="B2" s="2">
        <x:v>1278</x:v>
      </x:c>
      <x:c r="C2" s="2">
        <x:v>274</x:v>
      </x:c>
      <x:c r="D2" s="2">
        <x:v>57</x:v>
      </x:c>
      <x:c r="E2" s="4">
        <x:v>0.21439749608763689</x:v>
      </x:c>
      <x:c r="F2" s="4">
        <x:v>4.46009389671361E-2</x:v>
      </x:c>
      <x:c r="G2" s="5">
        <x:v>4.8070175438596499</x:v>
      </x:c>
      <x:c r="H2" s="4">
        <x:v>0.83881064162754304</x:v>
      </x:c>
      <x:c r="I2" s="4">
        <x:v>0.1611893583724569</x:v>
      </x:c>
      <x:c r="J2" s="4">
        <x:v>1</x:v>
      </x:c>
    </x:row>
    <x:row r="3">
      <x:c r="A3" t="s">
        <x:v>25</x:v>
      </x:c>
      <x:c r="B3" s="2">
        <x:v>1251</x:v>
      </x:c>
      <x:c r="C3" s="2">
        <x:v>266</x:v>
      </x:c>
      <x:c r="D3" s="2">
        <x:v>112</x:v>
      </x:c>
      <x:c r="E3" s="4">
        <x:v>0.2126298960831334</x:v>
      </x:c>
      <x:c r="F3" s="4">
        <x:v>8.9528377298161405E-2</x:v>
      </x:c>
      <x:c r="G3" s="5">
        <x:v>2.375</x:v>
      </x:c>
      <x:c r="H3" s="4">
        <x:v>0.97202238209432457</x:v>
      </x:c>
      <x:c r="I3" s="4">
        <x:v>2.7977617905675399E-2</x:v>
      </x:c>
      <x:c r="J3" s="4">
        <x:v>1</x:v>
      </x:c>
    </x:row>
    <x:row r="4">
      <x:c r="A4" t="s">
        <x:v>27</x:v>
      </x:c>
      <x:c r="B4" s="2">
        <x:v>183</x:v>
      </x:c>
      <x:c r="C4" s="2">
        <x:v>13</x:v>
      </x:c>
      <x:c r="D4" s="2">
        <x:v>25</x:v>
      </x:c>
      <x:c r="E4" s="4">
        <x:v>7.10382513661202E-2</x:v>
      </x:c>
      <x:c r="F4" s="4">
        <x:v>0.13661202185792351</x:v>
      </x:c>
      <x:c r="G4" s="5">
        <x:v>0.51999999999999991</x:v>
      </x:c>
      <x:c r="H4" s="4">
        <x:v>0</x:v>
      </x:c>
      <x:c r="I4" s="4">
        <x:v>0</x:v>
      </x:c>
      <x:c r="J4" s="4">
        <x:v>1</x:v>
      </x:c>
    </x:row>
    <x:row r="5">
      <x:c r="A5" t="s">
        <x:v>35</x:v>
      </x:c>
      <x:c r="B5" s="2">
        <x:v>173</x:v>
      </x:c>
      <x:c r="C5" s="2">
        <x:v>25</x:v>
      </x:c>
      <x:c r="D5" s="2">
        <x:v>10</x:v>
      </x:c>
      <x:c r="E5" s="4">
        <x:v>0.1445086705202312</x:v>
      </x:c>
      <x:c r="F5" s="4">
        <x:v>5.7803468208092401E-2</x:v>
      </x:c>
      <x:c r="G5" s="5">
        <x:v>2.5</x:v>
      </x:c>
      <x:c r="H5" s="4">
        <x:v>5.7803468208091997E-3</x:v>
      </x:c>
      <x:c r="I5" s="4">
        <x:v>0</x:v>
      </x:c>
      <x:c r="J5" s="4">
        <x:v>1</x:v>
      </x:c>
    </x:row>
    <x:row r="6">
      <x:c r="A6" t="s">
        <x:v>26</x:v>
      </x:c>
      <x:c r="B6" s="2">
        <x:v>170</x:v>
      </x:c>
      <x:c r="C6" s="2">
        <x:v>17</x:v>
      </x:c>
      <x:c r="D6" s="2">
        <x:v>43</x:v>
      </x:c>
      <x:c r="E6" s="4">
        <x:v>0.1</x:v>
      </x:c>
      <x:c r="F6" s="4">
        <x:v>0.25294117647058822</x:v>
      </x:c>
      <x:c r="G6" s="5">
        <x:v>0.39534883720930231</x:v>
      </x:c>
      <x:c r="H6" s="4">
        <x:v>0</x:v>
      </x:c>
      <x:c r="I6" s="4">
        <x:v>0</x:v>
      </x:c>
      <x:c r="J6" s="4">
        <x:v>0</x:v>
      </x:c>
    </x:row>
    <x:row r="7">
      <x:c r="A7" t="s">
        <x:v>34</x:v>
      </x:c>
      <x:c r="B7" s="2">
        <x:v>125</x:v>
      </x:c>
      <x:c r="C7" s="2">
        <x:v>10</x:v>
      </x:c>
      <x:c r="D7" s="2">
        <x:v>14</x:v>
      </x:c>
      <x:c r="E7" s="4">
        <x:v>0.08</x:v>
      </x:c>
      <x:c r="F7" s="4">
        <x:v>0.112</x:v>
      </x:c>
      <x:c r="G7" s="5">
        <x:v>0.7142857142857143</x:v>
      </x:c>
      <x:c r="H7" s="4">
        <x:v>0</x:v>
      </x:c>
      <x:c r="I7" s="4">
        <x:v>0</x:v>
      </x:c>
      <x:c r="J7" s="4">
        <x:v>1</x:v>
      </x:c>
    </x:row>
    <x:row r="8">
      <x:c r="A8" t="s">
        <x:v>33</x:v>
      </x:c>
      <x:c r="B8" s="2">
        <x:v>120</x:v>
      </x:c>
      <x:c r="C8" s="2">
        <x:v>3</x:v>
      </x:c>
      <x:c r="D8" s="2">
        <x:v>25</x:v>
      </x:c>
      <x:c r="E8" s="4">
        <x:v>2.5000000000000001E-2</x:v>
      </x:c>
      <x:c r="F8" s="4">
        <x:v>0.20833333333333329</x:v>
      </x:c>
      <x:c r="G8" s="5">
        <x:v>0.12</x:v>
      </x:c>
      <x:c r="H8" s="4">
        <x:v>8.3333333333333003E-3</x:v>
      </x:c>
      <x:c r="I8" s="4">
        <x:v>0</x:v>
      </x:c>
      <x:c r="J8" s="4">
        <x:v>0</x:v>
      </x:c>
    </x:row>
    <x:row r="9">
      <x:c r="A9" t="s">
        <x:v>39</x:v>
      </x:c>
      <x:c r="B9" s="2">
        <x:v>119</x:v>
      </x:c>
      <x:c r="C9" s="2">
        <x:v>3</x:v>
      </x:c>
      <x:c r="D9" s="2">
        <x:v>13</x:v>
      </x:c>
      <x:c r="E9" s="4">
        <x:v>2.5210084033613401E-2</x:v>
      </x:c>
      <x:c r="F9" s="4">
        <x:v>0.1092436974789916</x:v>
      </x:c>
      <x:c r="G9" s="5">
        <x:v>0.2307692307692307</x:v>
      </x:c>
      <x:c r="H9" s="4">
        <x:v>0</x:v>
      </x:c>
      <x:c r="I9" s="4">
        <x:v>0</x:v>
      </x:c>
      <x:c r="J9" s="4">
        <x:v>0</x:v>
      </x:c>
    </x:row>
    <x:row r="10">
      <x:c r="A10" t="s">
        <x:v>32</x:v>
      </x:c>
      <x:c r="B10" s="2">
        <x:v>115</x:v>
      </x:c>
      <x:c r="C10" s="2">
        <x:v>8</x:v>
      </x:c>
      <x:c r="D10" s="2">
        <x:v>22</x:v>
      </x:c>
      <x:c r="E10" s="4">
        <x:v>6.9565217391304293E-2</x:v>
      </x:c>
      <x:c r="F10" s="4">
        <x:v>0.19130434782608691</x:v>
      </x:c>
      <x:c r="G10" s="5">
        <x:v>0.36363636363636359</x:v>
      </x:c>
      <x:c r="H10" s="4">
        <x:v>0</x:v>
      </x:c>
      <x:c r="I10" s="4">
        <x:v>0</x:v>
      </x:c>
      <x:c r="J10" s="4">
        <x:v>1</x:v>
      </x:c>
    </x:row>
    <x:row r="11">
      <x:c r="A11" t="s">
        <x:v>42</x:v>
      </x:c>
      <x:c r="B11" s="2">
        <x:v>105</x:v>
      </x:c>
      <x:c r="C11" s="2">
        <x:v>8</x:v>
      </x:c>
      <x:c r="D11" s="2">
        <x:v>6</x:v>
      </x:c>
      <x:c r="E11" s="4">
        <x:v>7.6190476190476197E-2</x:v>
      </x:c>
      <x:c r="F11" s="4">
        <x:v>5.7142857142857099E-2</x:v>
      </x:c>
      <x:c r="G11" s="5">
        <x:v>1.3333333333333339</x:v>
      </x:c>
      <x:c r="H11" s="4">
        <x:v>8.5714285714285701E-2</x:v>
      </x:c>
      <x:c r="I11" s="4">
        <x:v>0.91428571428571437</x:v>
      </x:c>
      <x:c r="J11" s="4">
        <x:v>0</x:v>
      </x:c>
    </x:row>
    <x:row r="12">
      <x:c r="A12" t="s">
        <x:v>48</x:v>
      </x:c>
      <x:c r="B12" s="2">
        <x:v>105</x:v>
      </x:c>
      <x:c r="C12" s="2">
        <x:v>8</x:v>
      </x:c>
      <x:c r="D12" s="2">
        <x:v>1</x:v>
      </x:c>
      <x:c r="E12" s="4">
        <x:v>7.6190476190476197E-2</x:v>
      </x:c>
      <x:c r="F12" s="4">
        <x:v>9.5238095238095004E-3</x:v>
      </x:c>
      <x:c r="G12" s="5">
        <x:v>8</x:v>
      </x:c>
      <x:c r="H12" s="4">
        <x:v>8.5714285714285701E-2</x:v>
      </x:c>
      <x:c r="I12" s="4">
        <x:v>0.91428571428571437</x:v>
      </x:c>
      <x:c r="J12" s="4">
        <x:v>0</x:v>
      </x:c>
    </x:row>
    <x:row r="13">
      <x:c r="A13" t="s">
        <x:v>37</x:v>
      </x:c>
      <x:c r="B13" s="2">
        <x:v>102</x:v>
      </x:c>
      <x:c r="C13" s="2">
        <x:v>15</x:v>
      </x:c>
      <x:c r="D13" s="2">
        <x:v>10</x:v>
      </x:c>
      <x:c r="E13" s="4">
        <x:v>0.14705882352941169</x:v>
      </x:c>
      <x:c r="F13" s="4">
        <x:v>9.8039215686274495E-2</x:v>
      </x:c>
      <x:c r="G13" s="5">
        <x:v>1.5</x:v>
      </x:c>
      <x:c r="H13" s="4">
        <x:v>0</x:v>
      </x:c>
      <x:c r="I13" s="4">
        <x:v>0</x:v>
      </x:c>
      <x:c r="J13" s="4">
        <x:v>1</x:v>
      </x:c>
    </x:row>
    <x:row r="14">
      <x:c r="A14" t="s">
        <x:v>43</x:v>
      </x:c>
      <x:c r="B14" s="2">
        <x:v>87</x:v>
      </x:c>
      <x:c r="C14" s="2">
        <x:v>1</x:v>
      </x:c>
      <x:c r="D14" s="2">
        <x:v>8</x:v>
      </x:c>
      <x:c r="E14" s="4">
        <x:v>1.1494252873563199E-2</x:v>
      </x:c>
      <x:c r="F14" s="4">
        <x:v>9.1954022988505704E-2</x:v>
      </x:c>
      <x:c r="G14" s="5">
        <x:v>0.125</x:v>
      </x:c>
      <x:c r="H14" s="4">
        <x:v>0.60919540229885061</x:v>
      </x:c>
      <x:c r="I14" s="4">
        <x:v>0.35632183908045978</x:v>
      </x:c>
      <x:c r="J14" s="4">
        <x:v>0</x:v>
      </x:c>
    </x:row>
    <x:row r="15">
      <x:c r="A15" t="s">
        <x:v>54</x:v>
      </x:c>
      <x:c r="B15" s="2">
        <x:v>86</x:v>
      </x:c>
      <x:c r="C15" s="2">
        <x:v>1</x:v>
      </x:c>
      <x:c r="D15" s="2">
        <x:v>1</x:v>
      </x:c>
      <x:c r="E15" s="4">
        <x:v>1.1627906976744099E-2</x:v>
      </x:c>
      <x:c r="F15" s="4">
        <x:v>1.1627906976744099E-2</x:v>
      </x:c>
      <x:c r="G15" s="5">
        <x:v>1</x:v>
      </x:c>
      <x:c r="H15" s="4">
        <x:v>0.58139534883720934</x:v>
      </x:c>
      <x:c r="I15" s="4">
        <x:v>0.40697674418604651</x:v>
      </x:c>
      <x:c r="J15" s="4">
        <x:v>0</x:v>
      </x:c>
    </x:row>
    <x:row r="16">
      <x:c r="A16" t="s">
        <x:v>44</x:v>
      </x:c>
      <x:c r="B16" s="2">
        <x:v>86</x:v>
      </x:c>
      <x:c r="C16" s="2">
        <x:v>1</x:v>
      </x:c>
      <x:c r="D16" s="2">
        <x:v>3</x:v>
      </x:c>
      <x:c r="E16" s="4">
        <x:v>1.1627906976744099E-2</x:v>
      </x:c>
      <x:c r="F16" s="4">
        <x:v>3.4883720930232502E-2</x:v>
      </x:c>
      <x:c r="G16" s="5">
        <x:v>0.33333333333333331</x:v>
      </x:c>
      <x:c r="H16" s="4">
        <x:v>0.58139534883720934</x:v>
      </x:c>
      <x:c r="I16" s="4">
        <x:v>0.40697674418604651</x:v>
      </x:c>
      <x:c r="J16" s="4">
        <x:v>0</x:v>
      </x:c>
    </x:row>
    <x:row r="17">
      <x:c r="A17" t="s">
        <x:v>28</x:v>
      </x:c>
      <x:c r="B17" s="2">
        <x:v>85</x:v>
      </x:c>
      <x:c r="C17" s="2">
        <x:v>14</x:v>
      </x:c>
      <x:c r="D17" s="2">
        <x:v>10</x:v>
      </x:c>
      <x:c r="E17" s="4">
        <x:v>0.16470588235294109</x:v>
      </x:c>
      <x:c r="F17" s="4">
        <x:v>0.1176470588235294</x:v>
      </x:c>
      <x:c r="G17" s="5">
        <x:v>1.4</x:v>
      </x:c>
      <x:c r="H17" s="4">
        <x:v>0</x:v>
      </x:c>
      <x:c r="I17" s="4">
        <x:v>0</x:v>
      </x:c>
      <x:c r="J17" s="4">
        <x:v>1</x:v>
      </x:c>
    </x:row>
    <x:row r="18">
      <x:c r="A18" t="s">
        <x:v>49</x:v>
      </x:c>
      <x:c r="B18" s="2">
        <x:v>61</x:v>
      </x:c>
      <x:c r="C18" s="2">
        <x:v>5</x:v>
      </x:c>
      <x:c r="D18" s="2">
        <x:v>2</x:v>
      </x:c>
      <x:c r="E18" s="4">
        <x:v>8.1967213114753995E-2</x:v>
      </x:c>
      <x:c r="F18" s="4">
        <x:v>3.2786885245901599E-2</x:v>
      </x:c>
      <x:c r="G18" s="5">
        <x:v>2.5</x:v>
      </x:c>
      <x:c r="H18" s="4">
        <x:v>9.8360655737704902E-2</x:v>
      </x:c>
      <x:c r="I18" s="4">
        <x:v>0.90163934426229519</x:v>
      </x:c>
      <x:c r="J18" s="4">
        <x:v>0</x:v>
      </x:c>
    </x:row>
    <x:row r="19">
      <x:c r="A19" t="s">
        <x:v>53</x:v>
      </x:c>
      <x:c r="B19" s="2">
        <x:v>60</x:v>
      </x:c>
      <x:c r="C19" s="2">
        <x:v>4</x:v>
      </x:c>
      <x:c r="D19" s="2">
        <x:v>1</x:v>
      </x:c>
      <x:c r="E19" s="4">
        <x:v>6.6666666666666596E-2</x:v>
      </x:c>
      <x:c r="F19" s="4">
        <x:v>1.6666666666666601E-2</x:v>
      </x:c>
      <x:c r="G19" s="5">
        <x:v>4</x:v>
      </x:c>
      <x:c r="H19" s="4">
        <x:v>0</x:v>
      </x:c>
      <x:c r="I19" s="4">
        <x:v>1</x:v>
      </x:c>
      <x:c r="J19" s="4">
        <x:v>0</x:v>
      </x:c>
    </x:row>
    <x:row r="20">
      <x:c r="A20" t="s">
        <x:v>46</x:v>
      </x:c>
      <x:c r="B20" s="2">
        <x:v>57</x:v>
      </x:c>
      <x:c r="C20" s="2">
        <x:v>8</x:v>
      </x:c>
      <x:c r="D20" s="2">
        <x:v>0</x:v>
      </x:c>
      <x:c r="E20" s="4">
        <x:v>0.14035087719298239</x:v>
      </x:c>
      <x:c r="F20" s="4">
        <x:v>0</x:v>
      </x:c>
      <x:c r="G20" s="5"/>
      <x:c r="H20" s="4">
        <x:v>0</x:v>
      </x:c>
      <x:c r="I20" s="4">
        <x:v>0</x:v>
      </x:c>
      <x:c r="J20" s="4">
        <x:v>1</x:v>
      </x:c>
    </x:row>
    <x:row r="21">
      <x:c r="A21" t="s">
        <x:v>29</x:v>
      </x:c>
      <x:c r="B21" s="2">
        <x:v>51</x:v>
      </x:c>
      <x:c r="C21" s="2">
        <x:v>7</x:v>
      </x:c>
      <x:c r="D21" s="2">
        <x:v>6</x:v>
      </x:c>
      <x:c r="E21" s="4">
        <x:v>0.1372549019607843</x:v>
      </x:c>
      <x:c r="F21" s="4">
        <x:v>0.1176470588235294</x:v>
      </x:c>
      <x:c r="G21" s="5">
        <x:v>1.166666666666667</x:v>
      </x:c>
      <x:c r="H21" s="4">
        <x:v>0</x:v>
      </x:c>
      <x:c r="I21" s="4">
        <x:v>0</x:v>
      </x:c>
      <x:c r="J21" s="4">
        <x:v>1</x:v>
      </x:c>
    </x:row>
    <x:row r="22">
      <x:c r="A22" t="s">
        <x:v>52</x:v>
      </x:c>
      <x:c r="B22" s="2">
        <x:v>50</x:v>
      </x:c>
      <x:c r="C22" s="2">
        <x:v>2</x:v>
      </x:c>
      <x:c r="D22" s="2">
        <x:v>0</x:v>
      </x:c>
      <x:c r="E22" s="4">
        <x:v>0.04</x:v>
      </x:c>
      <x:c r="F22" s="4">
        <x:v>0</x:v>
      </x:c>
      <x:c r="G22" s="5"/>
      <x:c r="H22" s="4">
        <x:v>0.36</x:v>
      </x:c>
      <x:c r="I22" s="4">
        <x:v>0.64</x:v>
      </x:c>
      <x:c r="J22" s="4">
        <x:v>0</x:v>
      </x:c>
    </x:row>
    <x:row r="23">
      <x:c r="A23" t="s">
        <x:v>36</x:v>
      </x:c>
      <x:c r="B23" s="2">
        <x:v>49</x:v>
      </x:c>
      <x:c r="C23" s="2">
        <x:v>9</x:v>
      </x:c>
      <x:c r="D23" s="2">
        <x:v>0</x:v>
      </x:c>
      <x:c r="E23" s="4">
        <x:v>0.18367346938775511</x:v>
      </x:c>
      <x:c r="F23" s="4">
        <x:v>0</x:v>
      </x:c>
      <x:c r="G23" s="5"/>
      <x:c r="H23" s="4">
        <x:v>0</x:v>
      </x:c>
      <x:c r="I23" s="4">
        <x:v>0</x:v>
      </x:c>
      <x:c r="J23" s="4">
        <x:v>1</x:v>
      </x:c>
    </x:row>
    <x:row r="24">
      <x:c r="A24" t="s">
        <x:v>51</x:v>
      </x:c>
      <x:c r="B24" s="2">
        <x:v>47</x:v>
      </x:c>
      <x:c r="C24" s="2">
        <x:v>0</x:v>
      </x:c>
      <x:c r="D24" s="2">
        <x:v>0</x:v>
      </x:c>
      <x:c r="E24" s="4">
        <x:v>0</x:v>
      </x:c>
      <x:c r="F24" s="4">
        <x:v>0</x:v>
      </x:c>
      <x:c r="G24" s="5"/>
      <x:c r="H24" s="4">
        <x:v>2.1276595744680799E-2</x:v>
      </x:c>
      <x:c r="I24" s="4">
        <x:v>0.97872340425531923</x:v>
      </x:c>
      <x:c r="J24" s="4">
        <x:v>0</x:v>
      </x:c>
    </x:row>
    <x:row r="25">
      <x:c r="A25" t="s">
        <x:v>40</x:v>
      </x:c>
      <x:c r="B25" s="2">
        <x:v>47</x:v>
      </x:c>
      <x:c r="C25" s="2">
        <x:v>0</x:v>
      </x:c>
      <x:c r="D25" s="2">
        <x:v>4</x:v>
      </x:c>
      <x:c r="E25" s="4">
        <x:v>0</x:v>
      </x:c>
      <x:c r="F25" s="4">
        <x:v>8.5106382978723402E-2</x:v>
      </x:c>
      <x:c r="G25" s="5">
        <x:v>0</x:v>
      </x:c>
      <x:c r="H25" s="4">
        <x:v>2.1276595744680799E-2</x:v>
      </x:c>
      <x:c r="I25" s="4">
        <x:v>0.97872340425531923</x:v>
      </x:c>
      <x:c r="J25" s="4">
        <x:v>0</x:v>
      </x:c>
    </x:row>
    <x:row r="26">
      <x:c r="A26" t="s">
        <x:v>47</x:v>
      </x:c>
      <x:c r="B26" s="2">
        <x:v>47</x:v>
      </x:c>
      <x:c r="C26" s="2">
        <x:v>0</x:v>
      </x:c>
      <x:c r="D26" s="2">
        <x:v>1</x:v>
      </x:c>
      <x:c r="E26" s="4">
        <x:v>0</x:v>
      </x:c>
      <x:c r="F26" s="4">
        <x:v>2.1276595744680799E-2</x:v>
      </x:c>
      <x:c r="G26" s="5">
        <x:v>0</x:v>
      </x:c>
      <x:c r="H26" s="4">
        <x:v>2.1276595744680799E-2</x:v>
      </x:c>
      <x:c r="I26" s="4">
        <x:v>0.97872340425531923</x:v>
      </x:c>
      <x:c r="J26" s="4">
        <x:v>0</x:v>
      </x:c>
    </x:row>
    <x:row r="27">
      <x:c r="A27" t="s">
        <x:v>31</x:v>
      </x:c>
      <x:c r="B27" s="2">
        <x:v>36</x:v>
      </x:c>
      <x:c r="C27" s="2">
        <x:v>8</x:v>
      </x:c>
      <x:c r="D27" s="2">
        <x:v>5</x:v>
      </x:c>
      <x:c r="E27" s="4">
        <x:v>0.22222222222222221</x:v>
      </x:c>
      <x:c r="F27" s="4">
        <x:v>0.1388888888888889</x:v>
      </x:c>
      <x:c r="G27" s="5">
        <x:v>1.6</x:v>
      </x:c>
      <x:c r="H27" s="4">
        <x:v>0</x:v>
      </x:c>
      <x:c r="I27" s="4">
        <x:v>0</x:v>
      </x:c>
      <x:c r="J27" s="4">
        <x:v>1</x:v>
      </x:c>
    </x:row>
    <x:row r="28">
      <x:c r="A28" t="s">
        <x:v>41</x:v>
      </x:c>
      <x:c r="B28" s="2">
        <x:v>36</x:v>
      </x:c>
      <x:c r="C28" s="2">
        <x:v>4</x:v>
      </x:c>
      <x:c r="D28" s="2">
        <x:v>3</x:v>
      </x:c>
      <x:c r="E28" s="4">
        <x:v>0.1111111111111111</x:v>
      </x:c>
      <x:c r="F28" s="4">
        <x:v>8.3333333333333301E-2</x:v>
      </x:c>
      <x:c r="G28" s="5">
        <x:v>1.333333333333333</x:v>
      </x:c>
      <x:c r="H28" s="4">
        <x:v>0.1388888888888889</x:v>
      </x:c>
      <x:c r="I28" s="4">
        <x:v>0.86111111111111116</x:v>
      </x:c>
      <x:c r="J28" s="4">
        <x:v>0</x:v>
      </x:c>
    </x:row>
    <x:row r="29">
      <x:c r="A29" t="s">
        <x:v>50</x:v>
      </x:c>
      <x:c r="B29" s="2">
        <x:v>29</x:v>
      </x:c>
      <x:c r="C29" s="2">
        <x:v>0</x:v>
      </x:c>
      <x:c r="D29" s="2">
        <x:v>4</x:v>
      </x:c>
      <x:c r="E29" s="4">
        <x:v>0</x:v>
      </x:c>
      <x:c r="F29" s="4">
        <x:v>0.13793103448275859</x:v>
      </x:c>
      <x:c r="G29" s="5">
        <x:v>0</x:v>
      </x:c>
      <x:c r="H29" s="4">
        <x:v>0</x:v>
      </x:c>
      <x:c r="I29" s="4">
        <x:v>0</x:v>
      </x:c>
      <x:c r="J29" s="4">
        <x:v>0</x:v>
      </x:c>
    </x:row>
    <x:row r="30">
      <x:c r="A30" t="s">
        <x:v>45</x:v>
      </x:c>
      <x:c r="B30" s="2">
        <x:v>23</x:v>
      </x:c>
      <x:c r="C30" s="2">
        <x:v>0</x:v>
      </x:c>
      <x:c r="D30" s="2">
        <x:v>5</x:v>
      </x:c>
      <x:c r="E30" s="4">
        <x:v>0</x:v>
      </x:c>
      <x:c r="F30" s="4">
        <x:v>0.217391304347826</x:v>
      </x:c>
      <x:c r="G30" s="5">
        <x:v>0</x:v>
      </x:c>
      <x:c r="H30" s="4">
        <x:v>0</x:v>
      </x:c>
      <x:c r="I30" s="4">
        <x:v>0</x:v>
      </x:c>
      <x:c r="J30" s="4">
        <x:v>0</x:v>
      </x:c>
    </x:row>
    <x:row r="31">
      <x:c r="A31" t="s">
        <x:v>38</x:v>
      </x:c>
      <x:c r="B31" s="2">
        <x:v>19</x:v>
      </x:c>
      <x:c r="C31" s="2">
        <x:v>4</x:v>
      </x:c>
      <x:c r="D31" s="2">
        <x:v>1</x:v>
      </x:c>
      <x:c r="E31" s="4">
        <x:v>0.21052631578947359</x:v>
      </x:c>
      <x:c r="F31" s="4">
        <x:v>5.2631578947368397E-2</x:v>
      </x:c>
      <x:c r="G31" s="5">
        <x:v>4</x:v>
      </x:c>
      <x:c r="H31" s="4">
        <x:v>0</x:v>
      </x:c>
      <x:c r="I31" s="4">
        <x:v>0</x:v>
      </x:c>
      <x:c r="J31" s="4">
        <x:v>1</x:v>
      </x:c>
    </x:row>
    <x:row r="32">
      <x:c r="A32" t="s">
        <x:v>55</x:v>
      </x:c>
      <x:c r="B32" s="2">
        <x:v>6</x:v>
      </x:c>
      <x:c r="C32" s="2">
        <x:v>0</x:v>
      </x:c>
      <x:c r="D32" s="2">
        <x:v>0</x:v>
      </x:c>
      <x:c r="E32" s="4">
        <x:v>0</x:v>
      </x:c>
      <x:c r="F32" s="4">
        <x:v>0</x:v>
      </x:c>
      <x:c r="G32" s="5"/>
      <x:c r="H32" s="4">
        <x:v>0</x:v>
      </x:c>
      <x:c r="I32" s="4">
        <x:v>1</x:v>
      </x:c>
      <x:c r="J32" s="4">
        <x:v>0</x:v>
      </x:c>
    </x:row>
    <x:row r="33">
      <x:c r="A33" t="s">
        <x:v>57</x:v>
      </x:c>
      <x:c r="B33" s="2">
        <x:v>6</x:v>
      </x:c>
      <x:c r="C33" s="2">
        <x:v>0</x:v>
      </x:c>
      <x:c r="D33" s="2">
        <x:v>0</x:v>
      </x:c>
      <x:c r="E33" s="4">
        <x:v>0</x:v>
      </x:c>
      <x:c r="F33" s="4">
        <x:v>0</x:v>
      </x:c>
      <x:c r="G33" s="5"/>
      <x:c r="H33" s="4">
        <x:v>0</x:v>
      </x:c>
      <x:c r="I33" s="4">
        <x:v>1</x:v>
      </x:c>
      <x:c r="J33" s="4">
        <x:v>0</x:v>
      </x:c>
    </x:row>
    <x:row r="34">
      <x:c r="A34" t="s">
        <x:v>56</x:v>
      </x:c>
      <x:c r="B34" s="2">
        <x:v>6</x:v>
      </x:c>
      <x:c r="C34" s="2">
        <x:v>0</x:v>
      </x:c>
      <x:c r="D34" s="2">
        <x:v>0</x:v>
      </x:c>
      <x:c r="E34" s="4">
        <x:v>0</x:v>
      </x:c>
      <x:c r="F34" s="4">
        <x:v>0</x:v>
      </x:c>
      <x:c r="G34" s="5"/>
      <x:c r="H34" s="4">
        <x:v>0</x:v>
      </x:c>
      <x:c r="I34" s="4">
        <x:v>1</x:v>
      </x:c>
      <x:c r="J34" s="4">
        <x:v>0</x:v>
      </x:c>
    </x:row>
  </x:sheetData>
  <x:conditionalFormatting sqref="A2:J34">
    <x:cfRule type="expression" dxfId="0" priority="1">
      <x:formula>OR($A2="Card 30",$A2=30,$A2="Card 31",$A2=31)</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20.6640625" customWidth="1"/>
    <x:col min="2" max="2" width="16.6640625" customWidth="1"/>
    <x:col min="3" max="3" width="18.6640625" customWidth="1"/>
    <x:col min="4" max="4" width="4.6640625" customWidth="1"/>
    <x:col min="5" max="5" width="22.6640625" customWidth="1"/>
    <x:col min="6" max="7" width="16.6640625" customWidth="1"/>
    <x:col min="8" max="8" width="18.6640625" customWidth="1"/>
  </x:cols>
  <x:sheetData>
    <x:row r="1" ht="26" customHeight="1">
      <x:c r="A1" s="14" t="s">
        <x:v>68</x:v>
      </x:c>
      <x:c r="B1" s="14"/>
      <x:c r="C1" s="14"/>
      <x:c r="D1" s="14"/>
      <x:c r="E1" s="14"/>
      <x:c r="F1" s="14"/>
      <x:c r="G1" s="14"/>
      <x:c r="H1" s="14"/>
    </x:row>
    <x:row r="2" ht="26" customHeight="1">
      <x:c r="A2" s="14"/>
      <x:c r="B2" s="14"/>
      <x:c r="C2" s="14"/>
      <x:c r="D2" s="14"/>
      <x:c r="E2" s="14"/>
      <x:c r="F2" s="14"/>
      <x:c r="G2" s="14"/>
      <x:c r="H2" s="14"/>
    </x:row>
    <x:row r="3">
      <x:c r="A3" s="16" t="s">
        <x:v>69</x:v>
      </x:c>
      <x:c r="B3" s="16"/>
      <x:c r="C3" s="16"/>
      <x:c r="D3" s="16"/>
      <x:c r="E3" s="16"/>
      <x:c r="F3" s="16"/>
      <x:c r="G3" s="16"/>
      <x:c r="H3" s="16"/>
    </x:row>
    <x:row r="5" ht="26">
      <x:c r="A5" s="6" t="s">
        <x:v>70</x:v>
      </x:c>
      <x:c r="C5" s="6" t="s">
        <x:v>71</x:v>
      </x:c>
      <x:c r="E5" s="6" t="s">
        <x:v>72</x:v>
      </x:c>
      <x:c r="G5" s="6" t="s">
        <x:v>73</x:v>
      </x:c>
    </x:row>
    <x:row r="6" ht="30" customHeight="1">
      <x:c r="A6" s="7">
        <x:v>398</x:v>
      </x:c>
      <x:c r="C6" s="7">
        <x:v>315</x:v>
      </x:c>
      <x:c r="E6" s="8">
        <x:v>0.79145728643216084</x:v>
      </x:c>
      <x:c r="G6" s="7">
        <x:v>83</x:v>
      </x:c>
    </x:row>
    <x:row r="8">
      <x:c r="A8" s="17" t="s">
        <x:v>74</x:v>
      </x:c>
      <x:c r="B8" s="17"/>
      <x:c r="C8" s="17"/>
      <x:c r="D8" s="17"/>
      <x:c r="E8" s="17"/>
      <x:c r="F8" s="17"/>
      <x:c r="G8" s="17"/>
      <x:c r="H8" s="17"/>
    </x:row>
    <x:row r="9">
      <x:c r="A9" s="17"/>
      <x:c r="B9" s="17"/>
      <x:c r="C9" s="17"/>
      <x:c r="D9" s="17"/>
      <x:c r="E9" s="17"/>
      <x:c r="F9" s="17"/>
      <x:c r="G9" s="17"/>
      <x:c r="H9" s="17"/>
    </x:row>
    <x:row r="11">
      <x:c r="A11" s="18" t="s">
        <x:v>75</x:v>
      </x:c>
      <x:c r="B11" s="18"/>
      <x:c r="C11" s="18"/>
      <x:c r="E11" s="18" t="s">
        <x:v>76</x:v>
      </x:c>
      <x:c r="F11" s="18"/>
      <x:c r="G11" s="18"/>
    </x:row>
    <x:row r="12" ht="16">
      <x:c r="A12" s="9" t="s">
        <x:v>77</x:v>
      </x:c>
      <x:c r="B12" s="9" t="s">
        <x:v>78</x:v>
      </x:c>
      <x:c r="C12" s="9" t="s">
        <x:v>79</x:v>
      </x:c>
      <x:c r="E12" s="9" t="s">
        <x:v>80</x:v>
      </x:c>
      <x:c r="F12" s="9" t="s">
        <x:v>78</x:v>
      </x:c>
      <x:c r="G12" s="9" t="s">
        <x:v>79</x:v>
      </x:c>
    </x:row>
    <x:row r="13">
      <x:c r="A13" s="2">
        <x:v>1</x:v>
      </x:c>
      <x:c r="B13" s="2">
        <x:v>42</x:v>
      </x:c>
      <x:c r="C13" s="4">
        <x:v>0.1333333333333333</x:v>
      </x:c>
      <x:c r="E13" s="2">
        <x:v>1</x:v>
      </x:c>
      <x:c r="F13" s="2">
        <x:v>122</x:v>
      </x:c>
      <x:c r="G13" s="4">
        <x:v>0.38730158730158731</x:v>
      </x:c>
    </x:row>
    <x:row r="14">
      <x:c r="A14" s="2">
        <x:v>2</x:v>
      </x:c>
      <x:c r="B14" s="2">
        <x:v>198</x:v>
      </x:c>
      <x:c r="C14" s="4">
        <x:v>0.62857142857142856</x:v>
      </x:c>
      <x:c r="E14" s="2">
        <x:v>2</x:v>
      </x:c>
      <x:c r="F14" s="2">
        <x:v>183</x:v>
      </x:c>
      <x:c r="G14" s="4">
        <x:v>0.580952380952381</x:v>
      </x:c>
    </x:row>
    <x:row r="15">
      <x:c r="A15" s="2">
        <x:v>3</x:v>
      </x:c>
      <x:c r="B15" s="2">
        <x:v>41</x:v>
      </x:c>
      <x:c r="C15" s="4">
        <x:v>0.13015873015873011</x:v>
      </x:c>
      <x:c r="E15" s="2">
        <x:v>3</x:v>
      </x:c>
      <x:c r="F15" s="2">
        <x:v>10</x:v>
      </x:c>
      <x:c r="G15" s="4">
        <x:v>3.1746031746031703E-2</x:v>
      </x:c>
    </x:row>
    <x:row r="16">
      <x:c r="A16" s="2">
        <x:v>4</x:v>
      </x:c>
      <x:c r="B16" s="2">
        <x:v>19</x:v>
      </x:c>
      <x:c r="C16" s="4">
        <x:v>6.0317460317460297E-2</x:v>
      </x:c>
    </x:row>
    <x:row r="17">
      <x:c r="A17" s="2">
        <x:v>5</x:v>
      </x:c>
      <x:c r="B17" s="2">
        <x:v>11</x:v>
      </x:c>
      <x:c r="C17" s="4">
        <x:v>3.4920634920634901E-2</x:v>
      </x:c>
    </x:row>
    <x:row r="18">
      <x:c r="A18" s="2">
        <x:v>6</x:v>
      </x:c>
      <x:c r="B18" s="2">
        <x:v>2</x:v>
      </x:c>
      <x:c r="C18" s="4">
        <x:v>6.3492063492062998E-3</x:v>
      </x:c>
      <x:c r="E18" s="15" t="s">
        <x:v>81</x:v>
      </x:c>
      <x:c r="F18" s="15"/>
      <x:c r="G18" s="15"/>
      <x:c r="H18" s="15"/>
    </x:row>
    <x:row r="19">
      <x:c r="A19" s="2">
        <x:v>7</x:v>
      </x:c>
      <x:c r="B19" s="2">
        <x:v>2</x:v>
      </x:c>
      <x:c r="C19" s="4">
        <x:v>6.3492063492062998E-3</x:v>
      </x:c>
      <x:c r="E19" s="15"/>
      <x:c r="F19" s="15"/>
      <x:c r="G19" s="15"/>
      <x:c r="H19" s="15"/>
    </x:row>
    <x:row r="20">
      <x:c r="E20" s="15"/>
      <x:c r="F20" s="15"/>
      <x:c r="G20" s="15"/>
      <x:c r="H20" s="15"/>
    </x:row>
  </x:sheetData>
  <x:mergeCells>
    <x:mergeCell ref="E18:H20"/>
    <x:mergeCell ref="A1:H2"/>
    <x:mergeCell ref="A3:H3"/>
    <x:mergeCell ref="A8:H9"/>
    <x:mergeCell ref="A11:C11"/>
    <x:mergeCell ref="E11:G1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2" width="18.6640625" customWidth="1"/>
    <x:col min="3" max="3" width="19.6640625" customWidth="1"/>
    <x:col min="4" max="4" width="18.6640625" customWidth="1"/>
    <x:col min="5" max="5" width="21.6640625" customWidth="1"/>
    <x:col min="6" max="6" width="22.6640625" customWidth="1"/>
    <x:col min="7" max="8" width="19.6640625" customWidth="1"/>
  </x:cols>
  <x:sheetData>
    <x:row r="1" ht="26" customHeight="1">
      <x:c r="A1" s="14" t="s">
        <x:v>82</x:v>
      </x:c>
      <x:c r="B1" s="14"/>
      <x:c r="C1" s="14"/>
      <x:c r="D1" s="14"/>
      <x:c r="E1" s="14"/>
      <x:c r="F1" s="14"/>
      <x:c r="G1" s="14"/>
      <x:c r="H1" s="14"/>
    </x:row>
    <x:row r="2" ht="26" customHeight="1">
      <x:c r="A2" s="14"/>
      <x:c r="B2" s="14"/>
      <x:c r="C2" s="14"/>
      <x:c r="D2" s="14"/>
      <x:c r="E2" s="14"/>
      <x:c r="F2" s="14"/>
      <x:c r="G2" s="14"/>
      <x:c r="H2" s="14"/>
    </x:row>
    <x:row r="3">
      <x:c r="A3" s="16" t="s">
        <x:v>83</x:v>
      </x:c>
      <x:c r="B3" s="16"/>
      <x:c r="C3" s="16"/>
      <x:c r="D3" s="16"/>
      <x:c r="E3" s="16"/>
      <x:c r="F3" s="16"/>
      <x:c r="G3" s="16"/>
      <x:c r="H3" s="16"/>
    </x:row>
    <x:row r="5">
      <x:c r="A5" s="6" t="s">
        <x:v>84</x:v>
      </x:c>
      <x:c r="C5" s="6" t="s">
        <x:v>85</x:v>
      </x:c>
      <x:c r="E5" s="6" t="s">
        <x:v>86</x:v>
      </x:c>
      <x:c r="G5" s="6" t="s">
        <x:v>87</x:v>
      </x:c>
    </x:row>
    <x:row r="6" ht="21">
      <x:c r="A6" s="7">
        <x:v>315</x:v>
      </x:c>
      <x:c r="C6" s="7">
        <x:v>282</x:v>
      </x:c>
      <x:c r="E6" s="8">
        <x:v>0.89523809523809528</x:v>
      </x:c>
      <x:c r="G6" s="7">
        <x:v>33</x:v>
      </x:c>
    </x:row>
    <x:row r="8">
      <x:c r="A8" s="19" t="s">
        <x:v>88</x:v>
      </x:c>
      <x:c r="B8" s="19"/>
      <x:c r="C8" s="19"/>
      <x:c r="D8" s="19"/>
      <x:c r="E8" s="19"/>
      <x:c r="F8" s="19"/>
      <x:c r="G8" s="19"/>
      <x:c r="H8" s="19"/>
    </x:row>
    <x:row r="9">
      <x:c r="A9" s="19"/>
      <x:c r="B9" s="19"/>
      <x:c r="C9" s="19"/>
      <x:c r="D9" s="19"/>
      <x:c r="E9" s="19"/>
      <x:c r="F9" s="19"/>
      <x:c r="G9" s="19"/>
      <x:c r="H9" s="19"/>
    </x:row>
    <x:row r="11" ht="26">
      <x:c r="A11" s="6" t="s">
        <x:v>89</x:v>
      </x:c>
      <x:c r="C11" s="6" t="s">
        <x:v>90</x:v>
      </x:c>
      <x:c r="E11" s="6" t="s">
        <x:v>91</x:v>
      </x:c>
      <x:c r="G11" s="6" t="s">
        <x:v>92</x:v>
      </x:c>
    </x:row>
    <x:row r="12" ht="21">
      <x:c r="A12" s="10">
        <x:v>160.9719874233011</x:v>
      </x:c>
      <x:c r="C12" s="10">
        <x:v>51.452991003302202</x:v>
      </x:c>
      <x:c r="E12" s="11">
        <x:v>2143.6385106081402</x:v>
      </x:c>
      <x:c r="G12" s="7">
        <x:v>282</x:v>
      </x:c>
    </x:row>
    <x:row r="15">
      <x:c r="A15" s="18" t="s">
        <x:v>93</x:v>
      </x:c>
      <x:c r="B15" s="18"/>
      <x:c r="C15" s="18"/>
      <x:c r="D15" s="18"/>
      <x:c r="E15" s="18"/>
      <x:c r="F15" s="18"/>
    </x:row>
    <x:row r="16" ht="16">
      <x:c r="A16" s="9" t="s">
        <x:v>94</x:v>
      </x:c>
      <x:c r="B16" s="9" t="s">
        <x:v>95</x:v>
      </x:c>
      <x:c r="C16" s="9" t="s">
        <x:v>96</x:v>
      </x:c>
      <x:c r="D16" s="9" t="s">
        <x:v>9</x:v>
      </x:c>
      <x:c r="E16" s="9" t="s">
        <x:v>97</x:v>
      </x:c>
      <x:c r="F16" s="9" t="s">
        <x:v>98</x:v>
      </x:c>
    </x:row>
    <x:row r="17">
      <x:c r="A17" t="s">
        <x:v>25</x:v>
      </x:c>
      <x:c r="B17" s="12">
        <x:v>105.0300751879699</x:v>
      </x:c>
      <x:c r="C17" s="4">
        <x:v>0.31672597864768681</x:v>
      </x:c>
      <x:c r="D17" s="3">
        <x:v>13.93594306049822</x:v>
      </x:c>
      <x:c r="E17" s="12">
        <x:v>33.2657533513499</x:v>
      </x:c>
      <x:c r="F17" s="3">
        <x:v>1463.693147459396</x:v>
      </x:c>
    </x:row>
    <x:row r="18">
      <x:c r="A18" t="s">
        <x:v>30</x:v>
      </x:c>
      <x:c r="B18" s="12">
        <x:v>18.571428571428569</x:v>
      </x:c>
      <x:c r="C18" s="4">
        <x:v>0.26250000000000001</x:v>
      </x:c>
      <x:c r="D18" s="3">
        <x:v>11.55</x:v>
      </x:c>
      <x:c r="E18" s="12">
        <x:v>4.875</x:v>
      </x:c>
      <x:c r="F18" s="3">
        <x:v>214.5</x:v>
      </x:c>
    </x:row>
    <x:row r="19">
      <x:c r="A19" t="s">
        <x:v>26</x:v>
      </x:c>
      <x:c r="B19" s="12">
        <x:v>7.4658974358974364</x:v>
      </x:c>
      <x:c r="C19" s="4">
        <x:v>0.35135135135135132</x:v>
      </x:c>
      <x:c r="D19" s="3">
        <x:v>11.945945945945949</x:v>
      </x:c>
      <x:c r="E19" s="12">
        <x:v>2.623153153153154</x:v>
      </x:c>
      <x:c r="F19" s="3">
        <x:v>89.187207207207209</x:v>
      </x:c>
    </x:row>
    <x:row r="20">
      <x:c r="A20" t="s">
        <x:v>28</x:v>
      </x:c>
      <x:c r="B20" s="12">
        <x:v>4.645161290322581</x:v>
      </x:c>
      <x:c r="C20" s="4">
        <x:v>0.32608695652173908</x:v>
      </x:c>
      <x:c r="D20" s="3">
        <x:v>11.413043478260869</x:v>
      </x:c>
      <x:c r="E20" s="12">
        <x:v>1.514726507713885</x:v>
      </x:c>
      <x:c r="F20" s="3">
        <x:v>53.015427769985983</x:v>
      </x:c>
    </x:row>
    <x:row r="21">
      <x:c r="A21" t="s">
        <x:v>32</x:v>
      </x:c>
      <x:c r="B21" s="12">
        <x:v>2.421245421245422</x:v>
      </x:c>
      <x:c r="C21" s="4">
        <x:v>0.44</x:v>
      </x:c>
      <x:c r="D21" s="3">
        <x:v>19.8</x:v>
      </x:c>
      <x:c r="E21" s="12">
        <x:v>1.0653479853479859</x:v>
      </x:c>
      <x:c r="F21" s="3">
        <x:v>47.940659340659337</x:v>
      </x:c>
    </x:row>
    <x:row r="22">
      <x:c r="A22" t="s">
        <x:v>37</x:v>
      </x:c>
      <x:c r="B22" s="12">
        <x:v>3.3825757575757569</x:v>
      </x:c>
      <x:c r="C22" s="4">
        <x:v>0.46938775510204078</x:v>
      </x:c>
      <x:c r="D22" s="3">
        <x:v>13.142857142857141</x:v>
      </x:c>
      <x:c r="E22" s="12">
        <x:v>1.58773964131107</x:v>
      </x:c>
      <x:c r="F22" s="3">
        <x:v>44.456709956709943</x:v>
      </x:c>
    </x:row>
    <x:row r="23">
      <x:c r="A23" t="s">
        <x:v>31</x:v>
      </x:c>
      <x:c r="B23" s="12">
        <x:v>3.666666666666667</x:v>
      </x:c>
      <x:c r="C23" s="4">
        <x:v>0.3289473684210526</x:v>
      </x:c>
      <x:c r="D23" s="3">
        <x:v>11.513157894736841</x:v>
      </x:c>
      <x:c r="E23" s="12">
        <x:v>1.2061403508771931</x:v>
      </x:c>
      <x:c r="F23" s="3">
        <x:v>42.21491228070176</x:v>
      </x:c>
    </x:row>
    <x:row r="24">
      <x:c r="A24" t="s">
        <x:v>35</x:v>
      </x:c>
      <x:c r="B24" s="12">
        <x:v>4.2165322580645146</x:v>
      </x:c>
      <x:c r="C24" s="4">
        <x:v>0.24193548387096769</x:v>
      </x:c>
      <x:c r="D24" s="3">
        <x:v>8.4677419354838701</x:v>
      </x:c>
      <x:c r="E24" s="12">
        <x:v>1.0201287721123831</x:v>
      </x:c>
      <x:c r="F24" s="3">
        <x:v>35.704507023933402</x:v>
      </x:c>
    </x:row>
    <x:row r="25">
      <x:c r="A25" t="s">
        <x:v>27</x:v>
      </x:c>
      <x:c r="B25" s="12">
        <x:v>2.924050632911392</x:v>
      </x:c>
      <x:c r="C25" s="4">
        <x:v>0.35245901639344263</x:v>
      </x:c>
      <x:c r="D25" s="3">
        <x:v>11.983606557377049</x:v>
      </x:c>
      <x:c r="E25" s="12">
        <x:v>1.030608009960573</x:v>
      </x:c>
      <x:c r="F25" s="3">
        <x:v>35.040672338659483</x:v>
      </x:c>
    </x:row>
    <x:row r="26">
      <x:c r="A26" t="s">
        <x:v>29</x:v>
      </x:c>
      <x:c r="B26" s="12">
        <x:v>2</x:v>
      </x:c>
      <x:c r="C26" s="4">
        <x:v>0.3571428571428571</x:v>
      </x:c>
      <x:c r="D26" s="3">
        <x:v>12.142857142857141</x:v>
      </x:c>
      <x:c r="E26" s="12">
        <x:v>0.7142857142857143</x:v>
      </x:c>
      <x:c r="F26" s="3">
        <x:v>24.285714285714281</x:v>
      </x:c>
    </x:row>
    <x:row r="27">
      <x:c r="A27" t="s">
        <x:v>36</x:v>
      </x:c>
      <x:c r="B27" s="12">
        <x:v>1.485981308411215</x:v>
      </x:c>
      <x:c r="C27" s="4">
        <x:v>0.36065573770491799</x:v>
      </x:c>
      <x:c r="D27" s="3">
        <x:v>16.229508196721309</x:v>
      </x:c>
      <x:c r="E27" s="12">
        <x:v>0.53592768500076604</x:v>
      </x:c>
      <x:c r="F27" s="3">
        <x:v>24.116745825034471</x:v>
      </x:c>
    </x:row>
    <x:row r="28">
      <x:c r="A28" t="s">
        <x:v>38</x:v>
      </x:c>
      <x:c r="B28" s="12">
        <x:v>1.826086956521739</x:v>
      </x:c>
      <x:c r="C28" s="4">
        <x:v>0.37931034482758619</x:v>
      </x:c>
      <x:c r="D28" s="3">
        <x:v>12.896551724137931</x:v>
      </x:c>
      <x:c r="E28" s="12">
        <x:v>0.6926536731634183</x:v>
      </x:c>
      <x:c r="F28" s="3">
        <x:v>23.550224887556219</x:v>
      </x:c>
    </x:row>
    <x:row r="29">
      <x:c r="A29" t="s">
        <x:v>34</x:v>
      </x:c>
      <x:c r="B29" s="12">
        <x:v>1.6332556332556329</x:v>
      </x:c>
      <x:c r="C29" s="4">
        <x:v>0.33333333333333331</x:v>
      </x:c>
      <x:c r="D29" s="3">
        <x:v>11.66666666666667</x:v>
      </x:c>
      <x:c r="E29" s="12">
        <x:v>0.54441854441854443</x:v>
      </x:c>
      <x:c r="F29" s="3">
        <x:v>19.054649054649051</x:v>
      </x:c>
    </x:row>
    <x:row r="30">
      <x:c r="A30" t="s">
        <x:v>33</x:v>
      </x:c>
      <x:c r="B30" s="12">
        <x:v>0.83333333333333337</x:v>
      </x:c>
      <x:c r="C30" s="4">
        <x:v>0.47692307692307689</x:v>
      </x:c>
      <x:c r="D30" s="3">
        <x:v>16.692307692307701</x:v>
      </x:c>
      <x:c r="E30" s="12">
        <x:v>0.39743589743589741</x:v>
      </x:c>
      <x:c r="F30" s="3">
        <x:v>13.910256410256411</x:v>
      </x:c>
    </x:row>
    <x:row r="31">
      <x:c r="A31" t="s">
        <x:v>46</x:v>
      </x:c>
      <x:c r="B31" s="12">
        <x:v>0.63636363636363635</x:v>
      </x:c>
      <x:c r="C31" s="4">
        <x:v>0.42857142857142849</x:v>
      </x:c>
      <x:c r="D31" s="3">
        <x:v>15</x:v>
      </x:c>
      <x:c r="E31" s="12">
        <x:v>0.27272727272727271</x:v>
      </x:c>
      <x:c r="F31" s="3">
        <x:v>9.5454545454545432</x:v>
      </x:c>
    </x:row>
    <x:row r="32">
      <x:c r="A32" t="s">
        <x:v>39</x:v>
      </x:c>
      <x:c r="B32" s="12">
        <x:v>0.23333333333333331</x:v>
      </x:c>
      <x:c r="C32" s="4">
        <x:v>0.45833333333333331</x:v>
      </x:c>
      <x:c r="D32" s="3">
        <x:v>14.66666666666667</x:v>
      </x:c>
      <x:c r="E32" s="12">
        <x:v>0.1069444444444444</x:v>
      </x:c>
      <x:c r="F32" s="3">
        <x:v>3.4222222222222221</x:v>
      </x:c>
    </x:row>
    <x:row r="34">
      <x:c r="A34" s="15" t="s">
        <x:v>99</x:v>
      </x:c>
      <x:c r="B34" s="15"/>
      <x:c r="C34" s="15"/>
      <x:c r="D34" s="15"/>
      <x:c r="E34" s="15"/>
      <x:c r="F34" s="15"/>
      <x:c r="G34" s="15"/>
      <x:c r="H34" s="15"/>
    </x:row>
    <x:row r="35">
      <x:c r="A35" s="15"/>
      <x:c r="B35" s="15"/>
      <x:c r="C35" s="15"/>
      <x:c r="D35" s="15"/>
      <x:c r="E35" s="15"/>
      <x:c r="F35" s="15"/>
      <x:c r="G35" s="15"/>
      <x:c r="H35" s="15"/>
    </x:row>
    <x:row r="36">
      <x:c r="A36" s="15"/>
      <x:c r="B36" s="15"/>
      <x:c r="C36" s="15"/>
      <x:c r="D36" s="15"/>
      <x:c r="E36" s="15"/>
      <x:c r="F36" s="15"/>
      <x:c r="G36" s="15"/>
      <x:c r="H36" s="15"/>
    </x:row>
  </x:sheetData>
  <x:mergeCells>
    <x:mergeCell ref="A1:H2"/>
    <x:mergeCell ref="A3:H3"/>
    <x:mergeCell ref="A8:H9"/>
    <x:mergeCell ref="A15:F15"/>
    <x:mergeCell ref="A34:H36"/>
  </x:mergeCells>
  <x:conditionalFormatting sqref="B17:B32">
    <x:cfRule type="dataBar" priority="1">
      <x:dataBar>
        <x:cfvo type="min"/>
        <x:cfvo type="max"/>
        <x:color rgb="FF6BAED6"/>
      </x:dataBar>
    </x:cfRule>
  </x:conditionalFormatting>
  <x:conditionalFormatting sqref="F17:F32">
    <x:cfRule type="dataBar" priority="2">
      <x:dataBar>
        <x:cfvo type="min"/>
        <x:cfvo type="max"/>
        <x:color rgb="FF74C69D"/>
      </x:dataBar>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20.6640625" customWidth="1"/>
    <x:col min="2" max="13" width="15.6640625" customWidth="1"/>
    <x:col min="14" max="14" width="2.6640625" customWidth="1"/>
    <x:col min="15" max="15" width="16.6640625" hidden="1" customWidth="1"/>
    <x:col min="16" max="16" width="14.33203125" customWidth="1"/>
    <x:col min="17" max="17" width="19.1640625" customWidth="1"/>
    <x:col min="18" max="18" width="11.5" customWidth="1"/>
    <x:col min="19" max="19" width="24.33203125" customWidth="1"/>
  </x:cols>
  <x:sheetData>
    <x:row r="1" ht="26" customHeight="1">
      <x:c r="A1" s="14" t="s">
        <x:v>100</x:v>
      </x:c>
      <x:c r="B1" s="14"/>
      <x:c r="C1" s="14"/>
      <x:c r="D1" s="14"/>
      <x:c r="E1" s="14"/>
      <x:c r="F1" s="14"/>
      <x:c r="G1" s="14"/>
      <x:c r="H1" s="14"/>
      <x:c r="I1" s="14"/>
      <x:c r="J1" s="14"/>
      <x:c r="K1" s="14"/>
      <x:c r="L1" s="14"/>
      <x:c r="M1" s="14"/>
    </x:row>
    <x:row r="2" ht="26" customHeight="1">
      <x:c r="A2" s="14"/>
      <x:c r="B2" s="14"/>
      <x:c r="C2" s="14"/>
      <x:c r="D2" s="14"/>
      <x:c r="E2" s="14"/>
      <x:c r="F2" s="14"/>
      <x:c r="G2" s="14"/>
      <x:c r="H2" s="14"/>
      <x:c r="I2" s="14"/>
      <x:c r="J2" s="14"/>
      <x:c r="K2" s="14"/>
      <x:c r="L2" s="14"/>
      <x:c r="M2" s="14"/>
      <x:c r="O2" s="9" t="s">
        <x:v>101</x:v>
      </x:c>
      <x:c r="P2" s="9" t="s">
        <x:v>102</x:v>
      </x:c>
      <x:c r="Q2" s="9" t="s">
        <x:v>103</x:v>
      </x:c>
      <x:c r="R2" s="9" t="s">
        <x:v>104</x:v>
      </x:c>
      <x:c r="S2" s="9" t="s">
        <x:v>105</x:v>
      </x:c>
    </x:row>
    <x:row r="3">
      <x:c r="A3" s="16" t="s">
        <x:v>106</x:v>
      </x:c>
      <x:c r="B3" s="16"/>
      <x:c r="C3" s="16"/>
      <x:c r="D3" s="16"/>
      <x:c r="E3" s="16"/>
      <x:c r="F3" s="16"/>
      <x:c r="G3" s="16"/>
      <x:c r="H3" s="16"/>
      <x:c r="I3" s="16"/>
      <x:c r="J3" s="16"/>
      <x:c r="K3" s="16"/>
      <x:c r="L3" s="16"/>
      <x:c r="M3" s="16"/>
      <x:c r="O3" s="4">
        <x:v>0</x:v>
      </x:c>
      <x:c r="P3" s="13">
        <x:v>-628.36148939186023</x:v>
      </x:c>
      <x:c r="Q3" s="13">
        <x:v>-188.3614893918602</x:v>
      </x:c>
      <x:c r="R3" s="13">
        <x:v>-56.361489391860232</x:v>
      </x:c>
      <x:c r="S3" s="13">
        <x:v>31.638510608139772</x:v>
      </x:c>
    </x:row>
    <x:row r="4">
      <x:c r="O4" s="4">
        <x:v>0.1</x:v>
      </x:c>
      <x:c r="P4" s="13">
        <x:v>-588.65524356263541</x:v>
      </x:c>
      <x:c r="Q4" s="13">
        <x:v>-148.65524356263541</x:v>
      </x:c>
      <x:c r="R4" s="13">
        <x:v>-16.655243562635409</x:v>
      </x:c>
      <x:c r="S4" s="13">
        <x:v>71.344756437364595</x:v>
      </x:c>
    </x:row>
    <x:row r="5" ht="39">
      <x:c r="A5" s="6" t="s">
        <x:v>107</x:v>
      </x:c>
      <x:c r="C5" s="6" t="s">
        <x:v>108</x:v>
      </x:c>
      <x:c r="E5" s="6" t="s">
        <x:v>109</x:v>
      </x:c>
      <x:c r="G5" s="6" t="s">
        <x:v>110</x:v>
      </x:c>
      <x:c r="O5" s="4">
        <x:v>0.2</x:v>
      </x:c>
      <x:c r="P5" s="13">
        <x:v>-548.94899773341012</x:v>
      </x:c>
      <x:c r="Q5" s="13">
        <x:v>-108.9489977334101</x:v>
      </x:c>
      <x:c r="R5" s="13">
        <x:v>23.051002266589879</x:v>
      </x:c>
      <x:c r="S5" s="13">
        <x:v>111.0510022665899</x:v>
      </x:c>
    </x:row>
    <x:row r="6" ht="21">
      <x:c r="A6" s="11">
        <x:v>2143.6385106081402</x:v>
      </x:c>
      <x:c r="C6" s="11">
        <x:v>397.06245829224991</x:v>
      </x:c>
      <x:c r="E6" s="7">
        <x:v>6</x:v>
      </x:c>
      <x:c r="G6" s="7">
        <x:v>15</x:v>
      </x:c>
      <x:c r="O6" s="4">
        <x:v>0.3</x:v>
      </x:c>
      <x:c r="P6" s="13">
        <x:v>-509.2427519041853</x:v>
      </x:c>
      <x:c r="Q6" s="13">
        <x:v>-69.242751904185297</x:v>
      </x:c>
      <x:c r="R6" s="13">
        <x:v>62.757248095814703</x:v>
      </x:c>
      <x:c r="S6" s="13">
        <x:v>150.7572480958147</x:v>
      </x:c>
    </x:row>
    <x:row r="7">
      <x:c r="O7" s="4">
        <x:v>0.4</x:v>
      </x:c>
      <x:c r="P7" s="13">
        <x:v>-469.53650607496053</x:v>
      </x:c>
      <x:c r="Q7" s="13">
        <x:v>-29.536506074960471</x:v>
      </x:c>
      <x:c r="R7" s="13">
        <x:v>102.4634939250395</x:v>
      </x:c>
      <x:c r="S7" s="13">
        <x:v>190.4634939250395</x:v>
      </x:c>
    </x:row>
    <x:row r="8">
      <x:c r="A8" s="17" t="s">
        <x:v>111</x:v>
      </x:c>
      <x:c r="B8" s="17"/>
      <x:c r="C8" s="17"/>
      <x:c r="D8" s="17"/>
      <x:c r="E8" s="17"/>
      <x:c r="F8" s="17"/>
      <x:c r="G8" s="17"/>
      <x:c r="H8" s="17"/>
      <x:c r="O8" s="4">
        <x:v>0.5</x:v>
      </x:c>
      <x:c r="P8" s="13">
        <x:v>-429.83026024573519</x:v>
      </x:c>
      <x:c r="Q8" s="13">
        <x:v>10.16973975426481</x:v>
      </x:c>
      <x:c r="R8" s="13">
        <x:v>142.16973975426481</x:v>
      </x:c>
      <x:c r="S8" s="13">
        <x:v>230.16973975426481</x:v>
      </x:c>
    </x:row>
    <x:row r="9">
      <x:c r="A9" s="17"/>
      <x:c r="B9" s="17"/>
      <x:c r="C9" s="17"/>
      <x:c r="D9" s="17"/>
      <x:c r="E9" s="17"/>
      <x:c r="F9" s="17"/>
      <x:c r="G9" s="17"/>
      <x:c r="H9" s="17"/>
      <x:c r="O9" s="4">
        <x:v>0.6</x:v>
      </x:c>
      <x:c r="P9" s="13">
        <x:v>-390.12401441651042</x:v>
      </x:c>
      <x:c r="Q9" s="13">
        <x:v>49.875985583489637</x:v>
      </x:c>
      <x:c r="R9" s="13">
        <x:v>181.87598558348961</x:v>
      </x:c>
      <x:c r="S9" s="13">
        <x:v>269.87598558348958</x:v>
      </x:c>
    </x:row>
    <x:row r="10">
      <x:c r="A10" s="17"/>
      <x:c r="B10" s="17"/>
      <x:c r="C10" s="17"/>
      <x:c r="D10" s="17"/>
      <x:c r="E10" s="17"/>
      <x:c r="F10" s="17"/>
      <x:c r="G10" s="17"/>
      <x:c r="H10" s="17"/>
      <x:c r="O10" s="4">
        <x:v>0.7</x:v>
      </x:c>
      <x:c r="P10" s="13">
        <x:v>-350.41776858728548</x:v>
      </x:c>
      <x:c r="Q10" s="13">
        <x:v>89.582231412714464</x:v>
      </x:c>
      <x:c r="R10" s="13">
        <x:v>221.58223141271449</x:v>
      </x:c>
      <x:c r="S10" s="13">
        <x:v>309.58223141271452</x:v>
      </x:c>
    </x:row>
    <x:row r="11">
      <x:c r="O11" s="4">
        <x:v>0.8</x:v>
      </x:c>
      <x:c r="P11" s="13">
        <x:v>-310.71152275806031</x:v>
      </x:c>
      <x:c r="Q11" s="13">
        <x:v>129.28847724193969</x:v>
      </x:c>
      <x:c r="R11" s="13">
        <x:v>261.28847724193969</x:v>
      </x:c>
      <x:c r="S11" s="13">
        <x:v>349.28847724193969</x:v>
      </x:c>
    </x:row>
    <x:row r="12">
      <x:c r="A12" s="18" t="s">
        <x:v>112</x:v>
      </x:c>
      <x:c r="B12" s="18"/>
      <x:c r="C12" s="18"/>
      <x:c r="D12" s="18"/>
      <x:c r="O12" s="4">
        <x:v>0.9</x:v>
      </x:c>
      <x:c r="P12" s="13">
        <x:v>-271.00527692883543</x:v>
      </x:c>
      <x:c r="Q12" s="13">
        <x:v>168.9947230711646</x:v>
      </x:c>
      <x:c r="R12" s="13">
        <x:v>300.99472307116457</x:v>
      </x:c>
      <x:c r="S12" s="13">
        <x:v>388.99472307116457</x:v>
      </x:c>
    </x:row>
    <x:row r="13" ht="32">
      <x:c r="A13" s="9" t="s">
        <x:v>113</x:v>
      </x:c>
      <x:c r="B13" s="9" t="s">
        <x:v>114</x:v>
      </x:c>
      <x:c r="C13" s="9" t="s">
        <x:v>115</x:v>
      </x:c>
      <x:c r="D13" s="9" t="s">
        <x:v>116</x:v>
      </x:c>
      <x:c r="O13" s="4">
        <x:v>1</x:v>
      </x:c>
      <x:c r="P13" s="13">
        <x:v>-231.29903109961009</x:v>
      </x:c>
      <x:c r="Q13" s="13">
        <x:v>208.70096890038991</x:v>
      </x:c>
      <x:c r="R13" s="13">
        <x:v>340.70096890038991</x:v>
      </x:c>
      <x:c r="S13" s="13">
        <x:v>428.70096890038991</x:v>
      </x:c>
    </x:row>
    <x:row r="14">
      <x:c r="A14" s="2">
        <x:v>0</x:v>
      </x:c>
      <x:c r="B14" s="3">
        <x:v>0</x:v>
      </x:c>
      <x:c r="C14" s="3">
        <x:v>2772</x:v>
      </x:c>
      <x:c r="D14" s="4">
        <x:v>1.582525560574068</x:v>
      </x:c>
    </x:row>
    <x:row r="15">
      <x:c r="A15" s="2">
        <x:v>5</x:v>
      </x:c>
      <x:c r="B15" s="3">
        <x:v>220</x:v>
      </x:c>
      <x:c r="C15" s="3">
        <x:v>2552</x:v>
      </x:c>
      <x:c r="D15" s="4">
        <x:v>1.028456558568158</x:v>
      </x:c>
    </x:row>
    <x:row r="16">
      <x:c r="A16" s="2">
        <x:v>6</x:v>
      </x:c>
      <x:c r="B16" s="3">
        <x:v>264</x:v>
      </x:c>
      <x:c r="C16" s="3">
        <x:v>2508</x:v>
      </x:c>
      <x:c r="D16" s="4">
        <x:v>0.91764275816697638</x:v>
      </x:c>
    </x:row>
    <x:row r="17">
      <x:c r="A17" s="2">
        <x:v>10</x:v>
      </x:c>
      <x:c r="B17" s="3">
        <x:v>440</x:v>
      </x:c>
      <x:c r="C17" s="3">
        <x:v>2332</x:v>
      </x:c>
      <x:c r="D17" s="4">
        <x:v>0.47438755656224879</x:v>
      </x:c>
    </x:row>
    <x:row r="18">
      <x:c r="A18" s="2">
        <x:v>13</x:v>
      </x:c>
      <x:c r="B18" s="3">
        <x:v>572</x:v>
      </x:c>
      <x:c r="C18" s="3">
        <x:v>2200</x:v>
      </x:c>
      <x:c r="D18" s="4">
        <x:v>0.141946155358703</x:v>
      </x:c>
    </x:row>
    <x:row r="19">
      <x:c r="A19" s="2">
        <x:v>14</x:v>
      </x:c>
      <x:c r="B19" s="3">
        <x:v>616</x:v>
      </x:c>
      <x:c r="C19" s="3">
        <x:v>2156</x:v>
      </x:c>
      <x:c r="D19" s="4">
        <x:v>3.1132354957521001E-2</x:v>
      </x:c>
    </x:row>
    <x:row r="20">
      <x:c r="A20" s="2">
        <x:v>15</x:v>
      </x:c>
      <x:c r="B20" s="3">
        <x:v>660</x:v>
      </x:c>
      <x:c r="C20" s="3">
        <x:v>2112</x:v>
      </x:c>
      <x:c r="D20" s="4">
        <x:v>-7.9681445443660806E-2</x:v>
      </x:c>
    </x:row>
    <x:row r="31">
      <x:c r="F31" s="15" t="s">
        <x:v>117</x:v>
      </x:c>
      <x:c r="G31" s="15"/>
      <x:c r="H31" s="15"/>
      <x:c r="I31" s="15"/>
      <x:c r="J31" s="15"/>
      <x:c r="K31" s="15"/>
      <x:c r="L31" s="15"/>
      <x:c r="M31" s="15"/>
    </x:row>
    <x:row r="32">
      <x:c r="F32" s="15"/>
      <x:c r="G32" s="15"/>
      <x:c r="H32" s="15"/>
      <x:c r="I32" s="15"/>
      <x:c r="J32" s="15"/>
      <x:c r="K32" s="15"/>
      <x:c r="L32" s="15"/>
      <x:c r="M32" s="15"/>
    </x:row>
    <x:row r="33">
      <x:c r="F33" s="15"/>
      <x:c r="G33" s="15"/>
      <x:c r="H33" s="15"/>
      <x:c r="I33" s="15"/>
      <x:c r="J33" s="15"/>
      <x:c r="K33" s="15"/>
      <x:c r="L33" s="15"/>
      <x:c r="M33" s="15"/>
    </x:row>
    <x:row r="34">
      <x:c r="F34" s="15"/>
      <x:c r="G34" s="15"/>
      <x:c r="H34" s="15"/>
      <x:c r="I34" s="15"/>
      <x:c r="J34" s="15"/>
      <x:c r="K34" s="15"/>
      <x:c r="L34" s="15"/>
      <x:c r="M34" s="15"/>
    </x:row>
    <x:row r="37">
      <x:c r="A37" s="18" t="s">
        <x:v>118</x:v>
      </x:c>
      <x:c r="B37" s="18"/>
      <x:c r="C37" s="18"/>
      <x:c r="D37" s="18"/>
      <x:c r="E37" s="18"/>
      <x:c r="F37" s="18"/>
      <x:c r="G37" s="18"/>
      <x:c r="H37" s="18"/>
      <x:c r="I37" s="18"/>
      <x:c r="J37" s="18"/>
      <x:c r="K37" s="18"/>
      <x:c r="L37" s="18"/>
    </x:row>
    <x:row r="38" ht="16">
      <x:c r="A38" s="9" t="s">
        <x:v>119</x:v>
      </x:c>
      <x:c r="B38" s="9" t="s">
        <x:v>120</x:v>
      </x:c>
      <x:c r="C38" s="9" t="s">
        <x:v>121</x:v>
      </x:c>
      <x:c r="D38" s="9" t="s">
        <x:v>122</x:v>
      </x:c>
      <x:c r="E38" s="9" t="s">
        <x:v>123</x:v>
      </x:c>
      <x:c r="F38" s="9" t="s">
        <x:v>124</x:v>
      </x:c>
      <x:c r="G38" s="9" t="s">
        <x:v>125</x:v>
      </x:c>
      <x:c r="H38" s="9" t="s">
        <x:v>126</x:v>
      </x:c>
      <x:c r="I38" s="9" t="s">
        <x:v>127</x:v>
      </x:c>
      <x:c r="J38" s="9" t="s">
        <x:v>128</x:v>
      </x:c>
      <x:c r="K38" s="9" t="s">
        <x:v>129</x:v>
      </x:c>
      <x:c r="L38" s="9" t="s">
        <x:v>130</x:v>
      </x:c>
    </x:row>
    <x:row r="39">
      <x:c r="A39" s="2">
        <x:v>0</x:v>
      </x:c>
      <x:c r="B39" s="13">
        <x:v>-628.36148939186023</x:v>
      </x:c>
      <x:c r="C39" s="13">
        <x:v>-588.65524356263541</x:v>
      </x:c>
      <x:c r="D39" s="13">
        <x:v>-548.94899773341012</x:v>
      </x:c>
      <x:c r="E39" s="13">
        <x:v>-509.2427519041853</x:v>
      </x:c>
      <x:c r="F39" s="13">
        <x:v>-469.53650607496053</x:v>
      </x:c>
      <x:c r="G39" s="13">
        <x:v>-429.83026024573519</x:v>
      </x:c>
      <x:c r="H39" s="13">
        <x:v>-390.12401441651042</x:v>
      </x:c>
      <x:c r="I39" s="13">
        <x:v>-350.41776858728548</x:v>
      </x:c>
      <x:c r="J39" s="13">
        <x:v>-310.71152275806031</x:v>
      </x:c>
      <x:c r="K39" s="13">
        <x:v>-271.00527692883543</x:v>
      </x:c>
      <x:c r="L39" s="13">
        <x:v>-231.29903109961009</x:v>
      </x:c>
    </x:row>
    <x:row r="40">
      <x:c r="A40" s="2">
        <x:v>1</x:v>
      </x:c>
      <x:c r="B40" s="13">
        <x:v>-584.36148939186023</x:v>
      </x:c>
      <x:c r="C40" s="13">
        <x:v>-544.65524356263541</x:v>
      </x:c>
      <x:c r="D40" s="13">
        <x:v>-504.94899773341012</x:v>
      </x:c>
      <x:c r="E40" s="13">
        <x:v>-465.2427519041853</x:v>
      </x:c>
      <x:c r="F40" s="13">
        <x:v>-425.53650607496053</x:v>
      </x:c>
      <x:c r="G40" s="13">
        <x:v>-385.83026024573519</x:v>
      </x:c>
      <x:c r="H40" s="13">
        <x:v>-346.12401441651042</x:v>
      </x:c>
      <x:c r="I40" s="13">
        <x:v>-306.41776858728548</x:v>
      </x:c>
      <x:c r="J40" s="13">
        <x:v>-266.71152275806031</x:v>
      </x:c>
      <x:c r="K40" s="13">
        <x:v>-227.0052769288354</x:v>
      </x:c>
      <x:c r="L40" s="13">
        <x:v>-187.29903109961009</x:v>
      </x:c>
    </x:row>
    <x:row r="41">
      <x:c r="A41" s="2">
        <x:v>2</x:v>
      </x:c>
      <x:c r="B41" s="13">
        <x:v>-540.36148939186023</x:v>
      </x:c>
      <x:c r="C41" s="13">
        <x:v>-500.65524356263541</x:v>
      </x:c>
      <x:c r="D41" s="13">
        <x:v>-460.94899773341012</x:v>
      </x:c>
      <x:c r="E41" s="13">
        <x:v>-421.2427519041853</x:v>
      </x:c>
      <x:c r="F41" s="13">
        <x:v>-381.53650607496053</x:v>
      </x:c>
      <x:c r="G41" s="13">
        <x:v>-341.83026024573519</x:v>
      </x:c>
      <x:c r="H41" s="13">
        <x:v>-302.12401441651042</x:v>
      </x:c>
      <x:c r="I41" s="13">
        <x:v>-262.41776858728548</x:v>
      </x:c>
      <x:c r="J41" s="13">
        <x:v>-222.7115227580602</x:v>
      </x:c>
      <x:c r="K41" s="13">
        <x:v>-183.0052769288354</x:v>
      </x:c>
      <x:c r="L41" s="13">
        <x:v>-143.29903109961009</x:v>
      </x:c>
    </x:row>
    <x:row r="42">
      <x:c r="A42" s="2">
        <x:v>3</x:v>
      </x:c>
      <x:c r="B42" s="13">
        <x:v>-496.36148939186018</x:v>
      </x:c>
      <x:c r="C42" s="13">
        <x:v>-456.65524356263541</x:v>
      </x:c>
      <x:c r="D42" s="13">
        <x:v>-416.94899773341012</x:v>
      </x:c>
      <x:c r="E42" s="13">
        <x:v>-377.2427519041853</x:v>
      </x:c>
      <x:c r="F42" s="13">
        <x:v>-337.53650607496053</x:v>
      </x:c>
      <x:c r="G42" s="13">
        <x:v>-297.83026024573519</x:v>
      </x:c>
      <x:c r="H42" s="13">
        <x:v>-258.12401441651042</x:v>
      </x:c>
      <x:c r="I42" s="13">
        <x:v>-218.41776858728551</x:v>
      </x:c>
      <x:c r="J42" s="13">
        <x:v>-178.71152275806031</x:v>
      </x:c>
      <x:c r="K42" s="13">
        <x:v>-139.0052769288354</x:v>
      </x:c>
      <x:c r="L42" s="13">
        <x:v>-99.299031099610161</x:v>
      </x:c>
    </x:row>
    <x:row r="43">
      <x:c r="A43" s="2">
        <x:v>4</x:v>
      </x:c>
      <x:c r="B43" s="13">
        <x:v>-452.36148939186018</x:v>
      </x:c>
      <x:c r="C43" s="13">
        <x:v>-412.65524356263541</x:v>
      </x:c>
      <x:c r="D43" s="13">
        <x:v>-372.94899773341012</x:v>
      </x:c>
      <x:c r="E43" s="13">
        <x:v>-333.2427519041853</x:v>
      </x:c>
      <x:c r="F43" s="13">
        <x:v>-293.53650607496053</x:v>
      </x:c>
      <x:c r="G43" s="13">
        <x:v>-253.83026024573519</x:v>
      </x:c>
      <x:c r="H43" s="13">
        <x:v>-214.12401441651039</x:v>
      </x:c>
      <x:c r="I43" s="13">
        <x:v>-174.41776858728551</x:v>
      </x:c>
      <x:c r="J43" s="13">
        <x:v>-134.71152275806031</x:v>
      </x:c>
      <x:c r="K43" s="13">
        <x:v>-95.005276928835443</x:v>
      </x:c>
      <x:c r="L43" s="13">
        <x:v>-55.299031099610147</x:v>
      </x:c>
    </x:row>
    <x:row r="44">
      <x:c r="A44" s="2">
        <x:v>5</x:v>
      </x:c>
      <x:c r="B44" s="13">
        <x:v>-408.36148939186018</x:v>
      </x:c>
      <x:c r="C44" s="13">
        <x:v>-368.65524356263541</x:v>
      </x:c>
      <x:c r="D44" s="13">
        <x:v>-328.94899773341012</x:v>
      </x:c>
      <x:c r="E44" s="13">
        <x:v>-289.2427519041853</x:v>
      </x:c>
      <x:c r="F44" s="13">
        <x:v>-249.5365060749605</x:v>
      </x:c>
      <x:c r="G44" s="13">
        <x:v>-209.83026024573519</x:v>
      </x:c>
      <x:c r="H44" s="13">
        <x:v>-170.12401441651039</x:v>
      </x:c>
      <x:c r="I44" s="13">
        <x:v>-130.41776858728551</x:v>
      </x:c>
      <x:c r="J44" s="13">
        <x:v>-90.711522758060255</x:v>
      </x:c>
      <x:c r="K44" s="13">
        <x:v>-51.005276928835428</x:v>
      </x:c>
      <x:c r="L44" s="13">
        <x:v>-11.299031099610151</x:v>
      </x:c>
    </x:row>
    <x:row r="45">
      <x:c r="A45" s="2">
        <x:v>6</x:v>
      </x:c>
      <x:c r="B45" s="13">
        <x:v>-364.36148939186018</x:v>
      </x:c>
      <x:c r="C45" s="13">
        <x:v>-324.65524356263541</x:v>
      </x:c>
      <x:c r="D45" s="13">
        <x:v>-284.94899773341012</x:v>
      </x:c>
      <x:c r="E45" s="13">
        <x:v>-245.2427519041853</x:v>
      </x:c>
      <x:c r="F45" s="13">
        <x:v>-205.5365060749605</x:v>
      </x:c>
      <x:c r="G45" s="13">
        <x:v>-165.83026024573519</x:v>
      </x:c>
      <x:c r="H45" s="13">
        <x:v>-126.12401441651041</x:v>
      </x:c>
      <x:c r="I45" s="13">
        <x:v>-86.417768587285536</x:v>
      </x:c>
      <x:c r="J45" s="13">
        <x:v>-46.711522758060262</x:v>
      </x:c>
      <x:c r="K45" s="13">
        <x:v>-7.0052769288354284</x:v>
      </x:c>
      <x:c r="L45" s="13">
        <x:v>32.700968900389853</x:v>
      </x:c>
    </x:row>
    <x:row r="46">
      <x:c r="A46" s="2">
        <x:v>7</x:v>
      </x:c>
      <x:c r="B46" s="13">
        <x:v>-320.36148939186018</x:v>
      </x:c>
      <x:c r="C46" s="13">
        <x:v>-280.65524356263541</x:v>
      </x:c>
      <x:c r="D46" s="13">
        <x:v>-240.9489977334101</x:v>
      </x:c>
      <x:c r="E46" s="13">
        <x:v>-201.2427519041853</x:v>
      </x:c>
      <x:c r="F46" s="13">
        <x:v>-161.5365060749605</x:v>
      </x:c>
      <x:c r="G46" s="13">
        <x:v>-121.8302602457352</x:v>
      </x:c>
      <x:c r="H46" s="13">
        <x:v>-82.124014416510363</x:v>
      </x:c>
      <x:c r="I46" s="13">
        <x:v>-42.417768587285543</x:v>
      </x:c>
      <x:c r="J46" s="13">
        <x:v>-2.711522758060255</x:v>
      </x:c>
      <x:c r="K46" s="13">
        <x:v>36.994723071164572</x:v>
      </x:c>
      <x:c r="L46" s="13">
        <x:v>76.700968900389853</x:v>
      </x:c>
    </x:row>
    <x:row r="47">
      <x:c r="A47" s="2">
        <x:v>8</x:v>
      </x:c>
      <x:c r="B47" s="13">
        <x:v>-276.36148939186018</x:v>
      </x:c>
      <x:c r="C47" s="13">
        <x:v>-236.65524356263541</x:v>
      </x:c>
      <x:c r="D47" s="13">
        <x:v>-196.9489977334101</x:v>
      </x:c>
      <x:c r="E47" s="13">
        <x:v>-157.2427519041853</x:v>
      </x:c>
      <x:c r="F47" s="13">
        <x:v>-117.5365060749605</x:v>
      </x:c>
      <x:c r="G47" s="13">
        <x:v>-77.83026024573519</x:v>
      </x:c>
      <x:c r="H47" s="13">
        <x:v>-38.124014416510363</x:v>
      </x:c>
      <x:c r="I47" s="13">
        <x:v>1.5822314127144641</x:v>
      </x:c>
      <x:c r="J47" s="13">
        <x:v>41.288477241939738</x:v>
      </x:c>
      <x:c r="K47" s="13">
        <x:v>80.994723071164572</x:v>
      </x:c>
      <x:c r="L47" s="13">
        <x:v>120.7009689003898</x:v>
      </x:c>
    </x:row>
    <x:row r="48">
      <x:c r="A48" s="2">
        <x:v>9</x:v>
      </x:c>
      <x:c r="B48" s="13">
        <x:v>-232.3614893918602</x:v>
      </x:c>
      <x:c r="C48" s="13">
        <x:v>-192.65524356263541</x:v>
      </x:c>
      <x:c r="D48" s="13">
        <x:v>-152.9489977334101</x:v>
      </x:c>
      <x:c r="E48" s="13">
        <x:v>-113.2427519041853</x:v>
      </x:c>
      <x:c r="F48" s="13">
        <x:v>-73.536506074960471</x:v>
      </x:c>
      <x:c r="G48" s="13">
        <x:v>-33.83026024573519</x:v>
      </x:c>
      <x:c r="H48" s="13">
        <x:v>5.8759855834896371</x:v>
      </x:c>
      <x:c r="I48" s="13">
        <x:v>45.582231412714457</x:v>
      </x:c>
      <x:c r="J48" s="13">
        <x:v>85.288477241939745</x:v>
      </x:c>
      <x:c r="K48" s="13">
        <x:v>124.9947230711646</x:v>
      </x:c>
      <x:c r="L48" s="13">
        <x:v>164.70096890038991</x:v>
      </x:c>
    </x:row>
    <x:row r="49">
      <x:c r="A49" s="2">
        <x:v>10</x:v>
      </x:c>
      <x:c r="B49" s="13">
        <x:v>-188.3614893918602</x:v>
      </x:c>
      <x:c r="C49" s="13">
        <x:v>-148.65524356263541</x:v>
      </x:c>
      <x:c r="D49" s="13">
        <x:v>-108.9489977334101</x:v>
      </x:c>
      <x:c r="E49" s="13">
        <x:v>-69.242751904185297</x:v>
      </x:c>
      <x:c r="F49" s="13">
        <x:v>-29.536506074960471</x:v>
      </x:c>
      <x:c r="G49" s="13">
        <x:v>10.16973975426481</x:v>
      </x:c>
      <x:c r="H49" s="13">
        <x:v>49.875985583489637</x:v>
      </x:c>
      <x:c r="I49" s="13">
        <x:v>89.582231412714464</x:v>
      </x:c>
      <x:c r="J49" s="13">
        <x:v>129.28847724193969</x:v>
      </x:c>
      <x:c r="K49" s="13">
        <x:v>168.9947230711646</x:v>
      </x:c>
      <x:c r="L49" s="13">
        <x:v>208.70096890038991</x:v>
      </x:c>
    </x:row>
    <x:row r="50">
      <x:c r="A50" s="2">
        <x:v>11</x:v>
      </x:c>
      <x:c r="B50" s="13">
        <x:v>-144.3614893918602</x:v>
      </x:c>
      <x:c r="C50" s="13">
        <x:v>-104.65524356263541</x:v>
      </x:c>
      <x:c r="D50" s="13">
        <x:v>-64.948997733410124</x:v>
      </x:c>
      <x:c r="E50" s="13">
        <x:v>-25.242751904185301</x:v>
      </x:c>
      <x:c r="F50" s="13">
        <x:v>14.463493925039529</x:v>
      </x:c>
      <x:c r="G50" s="13">
        <x:v>54.16973975426481</x:v>
      </x:c>
      <x:c r="H50" s="13">
        <x:v>93.875985583489637</x:v>
      </x:c>
      <x:c r="I50" s="13">
        <x:v>133.58223141271449</x:v>
      </x:c>
      <x:c r="J50" s="13">
        <x:v>173.28847724193969</x:v>
      </x:c>
      <x:c r="K50" s="13">
        <x:v>212.9947230711646</x:v>
      </x:c>
      <x:c r="L50" s="13">
        <x:v>252.70096890038991</x:v>
      </x:c>
    </x:row>
    <x:row r="51">
      <x:c r="A51" s="2">
        <x:v>12</x:v>
      </x:c>
      <x:c r="B51" s="13">
        <x:v>-100.3614893918602</x:v>
      </x:c>
      <x:c r="C51" s="13">
        <x:v>-60.655243562635413</x:v>
      </x:c>
      <x:c r="D51" s="13">
        <x:v>-20.948997733410121</x:v>
      </x:c>
      <x:c r="E51" s="13">
        <x:v>18.757248095814699</x:v>
      </x:c>
      <x:c r="F51" s="13">
        <x:v>58.463493925039529</x:v>
      </x:c>
      <x:c r="G51" s="13">
        <x:v>98.169739754264796</x:v>
      </x:c>
      <x:c r="H51" s="13">
        <x:v>137.87598558348961</x:v>
      </x:c>
      <x:c r="I51" s="13">
        <x:v>177.58223141271449</x:v>
      </x:c>
      <x:c r="J51" s="13">
        <x:v>217.2884772419398</x:v>
      </x:c>
      <x:c r="K51" s="13">
        <x:v>256.99472307116457</x:v>
      </x:c>
      <x:c r="L51" s="13">
        <x:v>296.70096890038991</x:v>
      </x:c>
    </x:row>
    <x:row r="52">
      <x:c r="A52" s="2">
        <x:v>13</x:v>
      </x:c>
      <x:c r="B52" s="13">
        <x:v>-56.361489391860232</x:v>
      </x:c>
      <x:c r="C52" s="13">
        <x:v>-16.655243562635409</x:v>
      </x:c>
      <x:c r="D52" s="13">
        <x:v>23.051002266589879</x:v>
      </x:c>
      <x:c r="E52" s="13">
        <x:v>62.757248095814703</x:v>
      </x:c>
      <x:c r="F52" s="13">
        <x:v>102.4634939250395</x:v>
      </x:c>
      <x:c r="G52" s="13">
        <x:v>142.16973975426481</x:v>
      </x:c>
      <x:c r="H52" s="13">
        <x:v>181.87598558348961</x:v>
      </x:c>
      <x:c r="I52" s="13">
        <x:v>221.58223141271449</x:v>
      </x:c>
      <x:c r="J52" s="13">
        <x:v>261.28847724193969</x:v>
      </x:c>
      <x:c r="K52" s="13">
        <x:v>300.99472307116457</x:v>
      </x:c>
      <x:c r="L52" s="13">
        <x:v>340.70096890038991</x:v>
      </x:c>
    </x:row>
    <x:row r="53">
      <x:c r="A53" s="2">
        <x:v>14</x:v>
      </x:c>
      <x:c r="B53" s="13">
        <x:v>-12.36148939186023</x:v>
      </x:c>
      <x:c r="C53" s="13">
        <x:v>27.344756437364591</x:v>
      </x:c>
      <x:c r="D53" s="13">
        <x:v>67.051002266589876</x:v>
      </x:c>
      <x:c r="E53" s="13">
        <x:v>106.7572480958147</x:v>
      </x:c>
      <x:c r="F53" s="13">
        <x:v>146.4634939250395</x:v>
      </x:c>
      <x:c r="G53" s="13">
        <x:v>186.16973975426481</x:v>
      </x:c>
      <x:c r="H53" s="13">
        <x:v>225.87598558348961</x:v>
      </x:c>
      <x:c r="I53" s="13">
        <x:v>265.58223141271452</x:v>
      </x:c>
      <x:c r="J53" s="13">
        <x:v>305.28847724193969</x:v>
      </x:c>
      <x:c r="K53" s="13">
        <x:v>344.99472307116457</x:v>
      </x:c>
      <x:c r="L53" s="13">
        <x:v>384.70096890038991</x:v>
      </x:c>
    </x:row>
    <x:row r="54">
      <x:c r="A54" s="2">
        <x:v>15</x:v>
      </x:c>
      <x:c r="B54" s="13">
        <x:v>31.638510608139772</x:v>
      </x:c>
      <x:c r="C54" s="13">
        <x:v>71.344756437364595</x:v>
      </x:c>
      <x:c r="D54" s="13">
        <x:v>111.0510022665899</x:v>
      </x:c>
      <x:c r="E54" s="13">
        <x:v>150.7572480958147</x:v>
      </x:c>
      <x:c r="F54" s="13">
        <x:v>190.4634939250395</x:v>
      </x:c>
      <x:c r="G54" s="13">
        <x:v>230.16973975426481</x:v>
      </x:c>
      <x:c r="H54" s="13">
        <x:v>269.87598558348958</x:v>
      </x:c>
      <x:c r="I54" s="13">
        <x:v>309.58223141271452</x:v>
      </x:c>
      <x:c r="J54" s="13">
        <x:v>349.28847724193969</x:v>
      </x:c>
      <x:c r="K54" s="13">
        <x:v>388.99472307116457</x:v>
      </x:c>
      <x:c r="L54" s="13">
        <x:v>428.70096890038991</x:v>
      </x:c>
    </x:row>
    <x:row r="55">
      <x:c r="A55" s="2">
        <x:v>16</x:v>
      </x:c>
      <x:c r="B55" s="13">
        <x:v>75.638510608139768</x:v>
      </x:c>
      <x:c r="C55" s="13">
        <x:v>115.34475643736459</x:v>
      </x:c>
      <x:c r="D55" s="13">
        <x:v>155.0510022665899</x:v>
      </x:c>
      <x:c r="E55" s="13">
        <x:v>194.7572480958147</x:v>
      </x:c>
      <x:c r="F55" s="13">
        <x:v>234.4634939250395</x:v>
      </x:c>
      <x:c r="G55" s="13">
        <x:v>274.16973975426481</x:v>
      </x:c>
      <x:c r="H55" s="13">
        <x:v>313.87598558348958</x:v>
      </x:c>
      <x:c r="I55" s="13">
        <x:v>353.58223141271452</x:v>
      </x:c>
      <x:c r="J55" s="13">
        <x:v>393.28847724193969</x:v>
      </x:c>
      <x:c r="K55" s="13">
        <x:v>432.99472307116457</x:v>
      </x:c>
      <x:c r="L55" s="13">
        <x:v>472.70096890038991</x:v>
      </x:c>
    </x:row>
    <x:row r="56">
      <x:c r="A56" s="2">
        <x:v>17</x:v>
      </x:c>
      <x:c r="B56" s="13">
        <x:v>119.6385106081398</x:v>
      </x:c>
      <x:c r="C56" s="13">
        <x:v>159.34475643736459</x:v>
      </x:c>
      <x:c r="D56" s="13">
        <x:v>199.0510022665899</x:v>
      </x:c>
      <x:c r="E56" s="13">
        <x:v>238.7572480958147</x:v>
      </x:c>
      <x:c r="F56" s="13">
        <x:v>278.46349392503947</x:v>
      </x:c>
      <x:c r="G56" s="13">
        <x:v>318.16973975426481</x:v>
      </x:c>
      <x:c r="H56" s="13">
        <x:v>357.87598558348958</x:v>
      </x:c>
      <x:c r="I56" s="13">
        <x:v>397.58223141271452</x:v>
      </x:c>
      <x:c r="J56" s="13">
        <x:v>437.28847724193969</x:v>
      </x:c>
      <x:c r="K56" s="13">
        <x:v>476.99472307116457</x:v>
      </x:c>
      <x:c r="L56" s="13">
        <x:v>516.70096890038985</x:v>
      </x:c>
    </x:row>
    <x:row r="57">
      <x:c r="A57" s="2">
        <x:v>18</x:v>
      </x:c>
      <x:c r="B57" s="13">
        <x:v>163.6385106081398</x:v>
      </x:c>
      <x:c r="C57" s="13">
        <x:v>203.34475643736459</x:v>
      </x:c>
      <x:c r="D57" s="13">
        <x:v>243.0510022665899</x:v>
      </x:c>
      <x:c r="E57" s="13">
        <x:v>282.7572480958147</x:v>
      </x:c>
      <x:c r="F57" s="13">
        <x:v>322.46349392503947</x:v>
      </x:c>
      <x:c r="G57" s="13">
        <x:v>362.16973975426481</x:v>
      </x:c>
      <x:c r="H57" s="13">
        <x:v>401.87598558348958</x:v>
      </x:c>
      <x:c r="I57" s="13">
        <x:v>441.58223141271452</x:v>
      </x:c>
      <x:c r="J57" s="13">
        <x:v>481.28847724193969</x:v>
      </x:c>
      <x:c r="K57" s="13">
        <x:v>520.99472307116457</x:v>
      </x:c>
      <x:c r="L57" s="13">
        <x:v>560.70096890038985</x:v>
      </x:c>
    </x:row>
    <x:row r="58">
      <x:c r="A58" s="2">
        <x:v>19</x:v>
      </x:c>
      <x:c r="B58" s="13">
        <x:v>207.6385106081398</x:v>
      </x:c>
      <x:c r="C58" s="13">
        <x:v>247.34475643736459</x:v>
      </x:c>
      <x:c r="D58" s="13">
        <x:v>287.05100226658988</x:v>
      </x:c>
      <x:c r="E58" s="13">
        <x:v>326.7572480958147</x:v>
      </x:c>
      <x:c r="F58" s="13">
        <x:v>366.46349392503947</x:v>
      </x:c>
      <x:c r="G58" s="13">
        <x:v>406.16973975426481</x:v>
      </x:c>
      <x:c r="H58" s="13">
        <x:v>445.87598558348958</x:v>
      </x:c>
      <x:c r="I58" s="13">
        <x:v>485.58223141271452</x:v>
      </x:c>
      <x:c r="J58" s="13">
        <x:v>525.28847724193974</x:v>
      </x:c>
      <x:c r="K58" s="13">
        <x:v>564.99472307116457</x:v>
      </x:c>
      <x:c r="L58" s="13">
        <x:v>604.70096890038985</x:v>
      </x:c>
    </x:row>
    <x:row r="59">
      <x:c r="A59" s="2">
        <x:v>20</x:v>
      </x:c>
      <x:c r="B59" s="13">
        <x:v>251.6385106081398</x:v>
      </x:c>
      <x:c r="C59" s="13">
        <x:v>291.34475643736459</x:v>
      </x:c>
      <x:c r="D59" s="13">
        <x:v>331.05100226658988</x:v>
      </x:c>
      <x:c r="E59" s="13">
        <x:v>370.7572480958147</x:v>
      </x:c>
      <x:c r="F59" s="13">
        <x:v>410.46349392503947</x:v>
      </x:c>
      <x:c r="G59" s="13">
        <x:v>450.16973975426481</x:v>
      </x:c>
      <x:c r="H59" s="13">
        <x:v>489.87598558348958</x:v>
      </x:c>
      <x:c r="I59" s="13">
        <x:v>529.58223141271446</x:v>
      </x:c>
      <x:c r="J59" s="13">
        <x:v>569.28847724193974</x:v>
      </x:c>
      <x:c r="K59" s="13">
        <x:v>608.99472307116457</x:v>
      </x:c>
      <x:c r="L59" s="13">
        <x:v>648.70096890038985</x:v>
      </x:c>
    </x:row>
    <x:row r="60">
      <x:c r="A60" s="2">
        <x:v>21</x:v>
      </x:c>
      <x:c r="B60" s="13">
        <x:v>295.63851060813982</x:v>
      </x:c>
      <x:c r="C60" s="13">
        <x:v>335.34475643736459</x:v>
      </x:c>
      <x:c r="D60" s="13">
        <x:v>375.05100226658988</x:v>
      </x:c>
      <x:c r="E60" s="13">
        <x:v>414.7572480958147</x:v>
      </x:c>
      <x:c r="F60" s="13">
        <x:v>454.46349392503947</x:v>
      </x:c>
      <x:c r="G60" s="13">
        <x:v>494.16973975426481</x:v>
      </x:c>
      <x:c r="H60" s="13">
        <x:v>533.87598558348964</x:v>
      </x:c>
      <x:c r="I60" s="13">
        <x:v>573.58223141271446</x:v>
      </x:c>
      <x:c r="J60" s="13">
        <x:v>613.28847724193974</x:v>
      </x:c>
      <x:c r="K60" s="13">
        <x:v>652.99472307116457</x:v>
      </x:c>
      <x:c r="L60" s="13">
        <x:v>692.70096890038985</x:v>
      </x:c>
    </x:row>
    <x:row r="61">
      <x:c r="A61" s="2">
        <x:v>22</x:v>
      </x:c>
      <x:c r="B61" s="13">
        <x:v>339.63851060813982</x:v>
      </x:c>
      <x:c r="C61" s="13">
        <x:v>379.34475643736459</x:v>
      </x:c>
      <x:c r="D61" s="13">
        <x:v>419.05100226658988</x:v>
      </x:c>
      <x:c r="E61" s="13">
        <x:v>458.7572480958147</x:v>
      </x:c>
      <x:c r="F61" s="13">
        <x:v>498.46349392503947</x:v>
      </x:c>
      <x:c r="G61" s="13">
        <x:v>538.16973975426481</x:v>
      </x:c>
      <x:c r="H61" s="13">
        <x:v>577.87598558348964</x:v>
      </x:c>
      <x:c r="I61" s="13">
        <x:v>617.58223141271446</x:v>
      </x:c>
      <x:c r="J61" s="13">
        <x:v>657.28847724193974</x:v>
      </x:c>
      <x:c r="K61" s="13">
        <x:v>696.99472307116457</x:v>
      </x:c>
      <x:c r="L61" s="13">
        <x:v>736.70096890038985</x:v>
      </x:c>
    </x:row>
    <x:row r="62">
      <x:c r="A62" s="2">
        <x:v>23</x:v>
      </x:c>
      <x:c r="B62" s="13">
        <x:v>383.63851060813982</x:v>
      </x:c>
      <x:c r="C62" s="13">
        <x:v>423.34475643736459</x:v>
      </x:c>
      <x:c r="D62" s="13">
        <x:v>463.05100226658988</x:v>
      </x:c>
      <x:c r="E62" s="13">
        <x:v>502.7572480958147</x:v>
      </x:c>
      <x:c r="F62" s="13">
        <x:v>542.46349392503953</x:v>
      </x:c>
      <x:c r="G62" s="13">
        <x:v>582.16973975426481</x:v>
      </x:c>
      <x:c r="H62" s="13">
        <x:v>621.87598558348964</x:v>
      </x:c>
      <x:c r="I62" s="13">
        <x:v>661.58223141271446</x:v>
      </x:c>
      <x:c r="J62" s="13">
        <x:v>701.28847724193974</x:v>
      </x:c>
      <x:c r="K62" s="13">
        <x:v>740.99472307116457</x:v>
      </x:c>
      <x:c r="L62" s="13">
        <x:v>780.70096890038985</x:v>
      </x:c>
    </x:row>
    <x:row r="63">
      <x:c r="A63" s="2">
        <x:v>24</x:v>
      </x:c>
      <x:c r="B63" s="13">
        <x:v>427.63851060813982</x:v>
      </x:c>
      <x:c r="C63" s="13">
        <x:v>467.34475643736459</x:v>
      </x:c>
      <x:c r="D63" s="13">
        <x:v>507.05100226658988</x:v>
      </x:c>
      <x:c r="E63" s="13">
        <x:v>546.7572480958147</x:v>
      </x:c>
      <x:c r="F63" s="13">
        <x:v>586.46349392503953</x:v>
      </x:c>
      <x:c r="G63" s="13">
        <x:v>626.16973975426481</x:v>
      </x:c>
      <x:c r="H63" s="13">
        <x:v>665.87598558348964</x:v>
      </x:c>
      <x:c r="I63" s="13">
        <x:v>705.58223141271446</x:v>
      </x:c>
      <x:c r="J63" s="13">
        <x:v>745.28847724193974</x:v>
      </x:c>
      <x:c r="K63" s="13">
        <x:v>784.99472307116457</x:v>
      </x:c>
      <x:c r="L63" s="13">
        <x:v>824.70096890038985</x:v>
      </x:c>
    </x:row>
    <x:row r="64">
      <x:c r="A64" s="2">
        <x:v>25</x:v>
      </x:c>
      <x:c r="B64" s="13">
        <x:v>471.63851060813982</x:v>
      </x:c>
      <x:c r="C64" s="13">
        <x:v>511.34475643736459</x:v>
      </x:c>
      <x:c r="D64" s="13">
        <x:v>551.05100226658988</x:v>
      </x:c>
      <x:c r="E64" s="13">
        <x:v>590.7572480958147</x:v>
      </x:c>
      <x:c r="F64" s="13">
        <x:v>630.46349392503953</x:v>
      </x:c>
      <x:c r="G64" s="13">
        <x:v>670.16973975426481</x:v>
      </x:c>
      <x:c r="H64" s="13">
        <x:v>709.87598558348964</x:v>
      </x:c>
      <x:c r="I64" s="13">
        <x:v>749.58223141271446</x:v>
      </x:c>
      <x:c r="J64" s="13">
        <x:v>789.28847724193974</x:v>
      </x:c>
      <x:c r="K64" s="13">
        <x:v>828.99472307116457</x:v>
      </x:c>
      <x:c r="L64" s="13">
        <x:v>868.70096890038985</x:v>
      </x:c>
    </x:row>
    <x:row r="65">
      <x:c r="A65" s="2">
        <x:v>26</x:v>
      </x:c>
      <x:c r="B65" s="13">
        <x:v>515.63851060813977</x:v>
      </x:c>
      <x:c r="C65" s="13">
        <x:v>555.34475643736459</x:v>
      </x:c>
      <x:c r="D65" s="13">
        <x:v>595.05100226658988</x:v>
      </x:c>
      <x:c r="E65" s="13">
        <x:v>634.7572480958147</x:v>
      </x:c>
      <x:c r="F65" s="13">
        <x:v>674.46349392503953</x:v>
      </x:c>
      <x:c r="G65" s="13">
        <x:v>714.16973975426481</x:v>
      </x:c>
      <x:c r="H65" s="13">
        <x:v>753.87598558348964</x:v>
      </x:c>
      <x:c r="I65" s="13">
        <x:v>793.58223141271446</x:v>
      </x:c>
      <x:c r="J65" s="13">
        <x:v>833.28847724193974</x:v>
      </x:c>
      <x:c r="K65" s="13">
        <x:v>872.99472307116457</x:v>
      </x:c>
      <x:c r="L65" s="13">
        <x:v>912.70096890038997</x:v>
      </x:c>
    </x:row>
    <x:row r="66">
      <x:c r="A66" s="2">
        <x:v>27</x:v>
      </x:c>
      <x:c r="B66" s="13">
        <x:v>559.63851060813977</x:v>
      </x:c>
      <x:c r="C66" s="13">
        <x:v>599.34475643736459</x:v>
      </x:c>
      <x:c r="D66" s="13">
        <x:v>639.05100226658988</x:v>
      </x:c>
      <x:c r="E66" s="13">
        <x:v>678.7572480958147</x:v>
      </x:c>
      <x:c r="F66" s="13">
        <x:v>718.46349392503953</x:v>
      </x:c>
      <x:c r="G66" s="13">
        <x:v>758.16973975426481</x:v>
      </x:c>
      <x:c r="H66" s="13">
        <x:v>797.87598558348964</x:v>
      </x:c>
      <x:c r="I66" s="13">
        <x:v>837.58223141271446</x:v>
      </x:c>
      <x:c r="J66" s="13">
        <x:v>877.28847724193974</x:v>
      </x:c>
      <x:c r="K66" s="13">
        <x:v>916.99472307116457</x:v>
      </x:c>
      <x:c r="L66" s="13">
        <x:v>956.70096890038997</x:v>
      </x:c>
    </x:row>
    <x:row r="67">
      <x:c r="A67" s="2">
        <x:v>28</x:v>
      </x:c>
      <x:c r="B67" s="13">
        <x:v>603.63851060813977</x:v>
      </x:c>
      <x:c r="C67" s="13">
        <x:v>643.34475643736459</x:v>
      </x:c>
      <x:c r="D67" s="13">
        <x:v>683.05100226658988</x:v>
      </x:c>
      <x:c r="E67" s="13">
        <x:v>722.7572480958147</x:v>
      </x:c>
      <x:c r="F67" s="13">
        <x:v>762.46349392503953</x:v>
      </x:c>
      <x:c r="G67" s="13">
        <x:v>802.16973975426481</x:v>
      </x:c>
      <x:c r="H67" s="13">
        <x:v>841.87598558348964</x:v>
      </x:c>
      <x:c r="I67" s="13">
        <x:v>881.58223141271446</x:v>
      </x:c>
      <x:c r="J67" s="13">
        <x:v>921.28847724193963</x:v>
      </x:c>
      <x:c r="K67" s="13">
        <x:v>960.99472307116457</x:v>
      </x:c>
      <x:c r="L67" s="13">
        <x:v>1000.70096890039</x:v>
      </x:c>
    </x:row>
    <x:row r="68">
      <x:c r="A68" s="2">
        <x:v>29</x:v>
      </x:c>
      <x:c r="B68" s="13">
        <x:v>647.63851060813977</x:v>
      </x:c>
      <x:c r="C68" s="13">
        <x:v>687.34475643736459</x:v>
      </x:c>
      <x:c r="D68" s="13">
        <x:v>727.05100226658988</x:v>
      </x:c>
      <x:c r="E68" s="13">
        <x:v>766.7572480958147</x:v>
      </x:c>
      <x:c r="F68" s="13">
        <x:v>806.46349392503953</x:v>
      </x:c>
      <x:c r="G68" s="13">
        <x:v>846.16973975426481</x:v>
      </x:c>
      <x:c r="H68" s="13">
        <x:v>885.87598558348964</x:v>
      </x:c>
      <x:c r="I68" s="13">
        <x:v>925.58223141271435</x:v>
      </x:c>
      <x:c r="J68" s="13">
        <x:v>965.28847724193963</x:v>
      </x:c>
      <x:c r="K68" s="13">
        <x:v>1004.994723071165</x:v>
      </x:c>
      <x:c r="L68" s="13">
        <x:v>1044.7009689003901</x:v>
      </x:c>
    </x:row>
    <x:row r="69">
      <x:c r="A69" s="2">
        <x:v>30</x:v>
      </x:c>
      <x:c r="B69" s="13">
        <x:v>691.63851060813977</x:v>
      </x:c>
      <x:c r="C69" s="13">
        <x:v>731.34475643736459</x:v>
      </x:c>
      <x:c r="D69" s="13">
        <x:v>771.05100226658988</x:v>
      </x:c>
      <x:c r="E69" s="13">
        <x:v>810.7572480958147</x:v>
      </x:c>
      <x:c r="F69" s="13">
        <x:v>850.46349392503953</x:v>
      </x:c>
      <x:c r="G69" s="13">
        <x:v>890.16973975426481</x:v>
      </x:c>
      <x:c r="H69" s="13">
        <x:v>929.87598558348964</x:v>
      </x:c>
      <x:c r="I69" s="13">
        <x:v>969.58223141271435</x:v>
      </x:c>
      <x:c r="J69" s="13">
        <x:v>1009.28847724194</x:v>
      </x:c>
      <x:c r="K69" s="13">
        <x:v>1048.994723071165</x:v>
      </x:c>
      <x:c r="L69" s="13">
        <x:v>1088.7009689003901</x:v>
      </x:c>
    </x:row>
    <x:row r="70">
      <x:c r="A70" s="2">
        <x:v>31</x:v>
      </x:c>
      <x:c r="B70" s="13">
        <x:v>735.63851060813977</x:v>
      </x:c>
      <x:c r="C70" s="13">
        <x:v>775.34475643736459</x:v>
      </x:c>
      <x:c r="D70" s="13">
        <x:v>815.05100226658988</x:v>
      </x:c>
      <x:c r="E70" s="13">
        <x:v>854.7572480958147</x:v>
      </x:c>
      <x:c r="F70" s="13">
        <x:v>894.46349392503953</x:v>
      </x:c>
      <x:c r="G70" s="13">
        <x:v>934.16973975426481</x:v>
      </x:c>
      <x:c r="H70" s="13">
        <x:v>973.87598558348964</x:v>
      </x:c>
      <x:c r="I70" s="13">
        <x:v>1013.582231412714</x:v>
      </x:c>
      <x:c r="J70" s="13">
        <x:v>1053.28847724194</x:v>
      </x:c>
      <x:c r="K70" s="13">
        <x:v>1092.994723071165</x:v>
      </x:c>
      <x:c r="L70" s="13">
        <x:v>1132.7009689003901</x:v>
      </x:c>
    </x:row>
    <x:row r="71">
      <x:c r="A71" s="2">
        <x:v>32</x:v>
      </x:c>
      <x:c r="B71" s="13">
        <x:v>779.63851060813977</x:v>
      </x:c>
      <x:c r="C71" s="13">
        <x:v>819.34475643736459</x:v>
      </x:c>
      <x:c r="D71" s="13">
        <x:v>859.05100226658988</x:v>
      </x:c>
      <x:c r="E71" s="13">
        <x:v>898.7572480958147</x:v>
      </x:c>
      <x:c r="F71" s="13">
        <x:v>938.46349392503964</x:v>
      </x:c>
      <x:c r="G71" s="13">
        <x:v>978.16973975426481</x:v>
      </x:c>
      <x:c r="H71" s="13">
        <x:v>1017.87598558349</x:v>
      </x:c>
      <x:c r="I71" s="13">
        <x:v>1057.582231412714</x:v>
      </x:c>
      <x:c r="J71" s="13">
        <x:v>1097.28847724194</x:v>
      </x:c>
      <x:c r="K71" s="13">
        <x:v>1136.994723071165</x:v>
      </x:c>
      <x:c r="L71" s="13">
        <x:v>1176.7009689003901</x:v>
      </x:c>
    </x:row>
    <x:row r="72">
      <x:c r="A72" s="2">
        <x:v>33</x:v>
      </x:c>
      <x:c r="B72" s="13">
        <x:v>823.63851060813977</x:v>
      </x:c>
      <x:c r="C72" s="13">
        <x:v>863.34475643736459</x:v>
      </x:c>
      <x:c r="D72" s="13">
        <x:v>903.05100226658999</x:v>
      </x:c>
      <x:c r="E72" s="13">
        <x:v>942.75724809581482</x:v>
      </x:c>
      <x:c r="F72" s="13">
        <x:v>982.46349392503964</x:v>
      </x:c>
      <x:c r="G72" s="13">
        <x:v>1022.169739754265</x:v>
      </x:c>
      <x:c r="H72" s="13">
        <x:v>1061.8759855834901</x:v>
      </x:c>
      <x:c r="I72" s="13">
        <x:v>1101.582231412714</x:v>
      </x:c>
      <x:c r="J72" s="13">
        <x:v>1141.28847724194</x:v>
      </x:c>
      <x:c r="K72" s="13">
        <x:v>1180.994723071165</x:v>
      </x:c>
      <x:c r="L72" s="13">
        <x:v>1220.7009689003901</x:v>
      </x:c>
    </x:row>
    <x:row r="73">
      <x:c r="A73" s="2">
        <x:v>34</x:v>
      </x:c>
      <x:c r="B73" s="13">
        <x:v>867.63851060813977</x:v>
      </x:c>
      <x:c r="C73" s="13">
        <x:v>907.34475643736459</x:v>
      </x:c>
      <x:c r="D73" s="13">
        <x:v>947.05100226658999</x:v>
      </x:c>
      <x:c r="E73" s="13">
        <x:v>986.75724809581482</x:v>
      </x:c>
      <x:c r="F73" s="13">
        <x:v>1026.46349392504</x:v>
      </x:c>
      <x:c r="G73" s="13">
        <x:v>1066.169739754265</x:v>
      </x:c>
      <x:c r="H73" s="13">
        <x:v>1105.8759855834901</x:v>
      </x:c>
      <x:c r="I73" s="13">
        <x:v>1145.582231412714</x:v>
      </x:c>
      <x:c r="J73" s="13">
        <x:v>1185.28847724194</x:v>
      </x:c>
      <x:c r="K73" s="13">
        <x:v>1224.994723071165</x:v>
      </x:c>
      <x:c r="L73" s="13">
        <x:v>1264.7009689003901</x:v>
      </x:c>
    </x:row>
    <x:row r="74">
      <x:c r="A74" s="2">
        <x:v>35</x:v>
      </x:c>
      <x:c r="B74" s="13">
        <x:v>911.63851060813977</x:v>
      </x:c>
      <x:c r="C74" s="13">
        <x:v>951.34475643736459</x:v>
      </x:c>
      <x:c r="D74" s="13">
        <x:v>991.05100226658999</x:v>
      </x:c>
      <x:c r="E74" s="13">
        <x:v>1030.7572480958149</x:v>
      </x:c>
      <x:c r="F74" s="13">
        <x:v>1070.46349392504</x:v>
      </x:c>
      <x:c r="G74" s="13">
        <x:v>1110.169739754265</x:v>
      </x:c>
      <x:c r="H74" s="13">
        <x:v>1149.8759855834901</x:v>
      </x:c>
      <x:c r="I74" s="13">
        <x:v>1189.582231412714</x:v>
      </x:c>
      <x:c r="J74" s="13">
        <x:v>1229.28847724194</x:v>
      </x:c>
      <x:c r="K74" s="13">
        <x:v>1268.994723071165</x:v>
      </x:c>
      <x:c r="L74" s="13">
        <x:v>1308.7009689003901</x:v>
      </x:c>
    </x:row>
    <x:row r="75">
      <x:c r="A75" s="2">
        <x:v>36</x:v>
      </x:c>
      <x:c r="B75" s="13">
        <x:v>955.63851060813977</x:v>
      </x:c>
      <x:c r="C75" s="13">
        <x:v>995.34475643736459</x:v>
      </x:c>
      <x:c r="D75" s="13">
        <x:v>1035.0510022665901</x:v>
      </x:c>
      <x:c r="E75" s="13">
        <x:v>1074.7572480958149</x:v>
      </x:c>
      <x:c r="F75" s="13">
        <x:v>1114.46349392504</x:v>
      </x:c>
      <x:c r="G75" s="13">
        <x:v>1154.169739754265</x:v>
      </x:c>
      <x:c r="H75" s="13">
        <x:v>1193.8759855834901</x:v>
      </x:c>
      <x:c r="I75" s="13">
        <x:v>1233.582231412714</x:v>
      </x:c>
      <x:c r="J75" s="13">
        <x:v>1273.28847724194</x:v>
      </x:c>
      <x:c r="K75" s="13">
        <x:v>1312.994723071165</x:v>
      </x:c>
      <x:c r="L75" s="13">
        <x:v>1352.7009689003901</x:v>
      </x:c>
    </x:row>
    <x:row r="76">
      <x:c r="A76" s="2">
        <x:v>37</x:v>
      </x:c>
      <x:c r="B76" s="13">
        <x:v>999.63851060813977</x:v>
      </x:c>
      <x:c r="C76" s="13">
        <x:v>1039.344756437365</x:v>
      </x:c>
      <x:c r="D76" s="13">
        <x:v>1079.0510022665901</x:v>
      </x:c>
      <x:c r="E76" s="13">
        <x:v>1118.7572480958149</x:v>
      </x:c>
      <x:c r="F76" s="13">
        <x:v>1158.46349392504</x:v>
      </x:c>
      <x:c r="G76" s="13">
        <x:v>1198.169739754265</x:v>
      </x:c>
      <x:c r="H76" s="13">
        <x:v>1237.8759855834901</x:v>
      </x:c>
      <x:c r="I76" s="13">
        <x:v>1277.582231412714</x:v>
      </x:c>
      <x:c r="J76" s="13">
        <x:v>1317.28847724194</x:v>
      </x:c>
      <x:c r="K76" s="13">
        <x:v>1356.994723071165</x:v>
      </x:c>
      <x:c r="L76" s="13">
        <x:v>1396.7009689003901</x:v>
      </x:c>
    </x:row>
    <x:row r="77">
      <x:c r="A77" s="2">
        <x:v>38</x:v>
      </x:c>
      <x:c r="B77" s="13">
        <x:v>1043.63851060814</x:v>
      </x:c>
      <x:c r="C77" s="13">
        <x:v>1083.344756437365</x:v>
      </x:c>
      <x:c r="D77" s="13">
        <x:v>1123.0510022665901</x:v>
      </x:c>
      <x:c r="E77" s="13">
        <x:v>1162.7572480958149</x:v>
      </x:c>
      <x:c r="F77" s="13">
        <x:v>1202.46349392504</x:v>
      </x:c>
      <x:c r="G77" s="13">
        <x:v>1242.169739754265</x:v>
      </x:c>
      <x:c r="H77" s="13">
        <x:v>1281.8759855834901</x:v>
      </x:c>
      <x:c r="I77" s="13">
        <x:v>1321.582231412714</x:v>
      </x:c>
      <x:c r="J77" s="13">
        <x:v>1361.28847724194</x:v>
      </x:c>
      <x:c r="K77" s="13">
        <x:v>1400.994723071165</x:v>
      </x:c>
      <x:c r="L77" s="13">
        <x:v>1440.7009689003901</x:v>
      </x:c>
    </x:row>
    <x:row r="78">
      <x:c r="A78" s="2">
        <x:v>39</x:v>
      </x:c>
      <x:c r="B78" s="13">
        <x:v>1087.63851060814</x:v>
      </x:c>
      <x:c r="C78" s="13">
        <x:v>1127.344756437365</x:v>
      </x:c>
      <x:c r="D78" s="13">
        <x:v>1167.0510022665901</x:v>
      </x:c>
      <x:c r="E78" s="13">
        <x:v>1206.7572480958149</x:v>
      </x:c>
      <x:c r="F78" s="13">
        <x:v>1246.46349392504</x:v>
      </x:c>
      <x:c r="G78" s="13">
        <x:v>1286.169739754265</x:v>
      </x:c>
      <x:c r="H78" s="13">
        <x:v>1325.8759855834901</x:v>
      </x:c>
      <x:c r="I78" s="13">
        <x:v>1365.582231412714</x:v>
      </x:c>
      <x:c r="J78" s="13">
        <x:v>1405.28847724194</x:v>
      </x:c>
      <x:c r="K78" s="13">
        <x:v>1444.994723071165</x:v>
      </x:c>
      <x:c r="L78" s="13">
        <x:v>1484.7009689003901</x:v>
      </x:c>
    </x:row>
    <x:row r="79">
      <x:c r="A79" s="2">
        <x:v>40</x:v>
      </x:c>
      <x:c r="B79" s="13">
        <x:v>1131.63851060814</x:v>
      </x:c>
      <x:c r="C79" s="13">
        <x:v>1171.344756437365</x:v>
      </x:c>
      <x:c r="D79" s="13">
        <x:v>1211.0510022665901</x:v>
      </x:c>
      <x:c r="E79" s="13">
        <x:v>1250.7572480958149</x:v>
      </x:c>
      <x:c r="F79" s="13">
        <x:v>1290.46349392504</x:v>
      </x:c>
      <x:c r="G79" s="13">
        <x:v>1330.169739754265</x:v>
      </x:c>
      <x:c r="H79" s="13">
        <x:v>1369.8759855834901</x:v>
      </x:c>
      <x:c r="I79" s="13">
        <x:v>1409.582231412714</x:v>
      </x:c>
      <x:c r="J79" s="13">
        <x:v>1449.28847724194</x:v>
      </x:c>
      <x:c r="K79" s="13">
        <x:v>1488.994723071165</x:v>
      </x:c>
      <x:c r="L79" s="13">
        <x:v>1528.7009689003901</x:v>
      </x:c>
    </x:row>
    <x:row r="80">
      <x:c r="A80" s="2">
        <x:v>41</x:v>
      </x:c>
      <x:c r="B80" s="13">
        <x:v>1175.63851060814</x:v>
      </x:c>
      <x:c r="C80" s="13">
        <x:v>1215.344756437365</x:v>
      </x:c>
      <x:c r="D80" s="13">
        <x:v>1255.0510022665901</x:v>
      </x:c>
      <x:c r="E80" s="13">
        <x:v>1294.7572480958149</x:v>
      </x:c>
      <x:c r="F80" s="13">
        <x:v>1334.46349392504</x:v>
      </x:c>
      <x:c r="G80" s="13">
        <x:v>1374.169739754265</x:v>
      </x:c>
      <x:c r="H80" s="13">
        <x:v>1413.8759855834901</x:v>
      </x:c>
      <x:c r="I80" s="13">
        <x:v>1453.582231412714</x:v>
      </x:c>
      <x:c r="J80" s="13">
        <x:v>1493.28847724194</x:v>
      </x:c>
      <x:c r="K80" s="13">
        <x:v>1532.994723071165</x:v>
      </x:c>
      <x:c r="L80" s="13">
        <x:v>1572.7009689003901</x:v>
      </x:c>
    </x:row>
    <x:row r="81">
      <x:c r="A81" s="2">
        <x:v>42</x:v>
      </x:c>
      <x:c r="B81" s="13">
        <x:v>1219.63851060814</x:v>
      </x:c>
      <x:c r="C81" s="13">
        <x:v>1259.344756437365</x:v>
      </x:c>
      <x:c r="D81" s="13">
        <x:v>1299.0510022665901</x:v>
      </x:c>
      <x:c r="E81" s="13">
        <x:v>1338.7572480958149</x:v>
      </x:c>
      <x:c r="F81" s="13">
        <x:v>1378.46349392504</x:v>
      </x:c>
      <x:c r="G81" s="13">
        <x:v>1418.169739754265</x:v>
      </x:c>
      <x:c r="H81" s="13">
        <x:v>1457.8759855834901</x:v>
      </x:c>
      <x:c r="I81" s="13">
        <x:v>1497.582231412714</x:v>
      </x:c>
      <x:c r="J81" s="13">
        <x:v>1537.28847724194</x:v>
      </x:c>
      <x:c r="K81" s="13">
        <x:v>1576.994723071165</x:v>
      </x:c>
      <x:c r="L81" s="13">
        <x:v>1616.7009689003901</x:v>
      </x:c>
    </x:row>
    <x:row r="82">
      <x:c r="A82" s="2">
        <x:v>43</x:v>
      </x:c>
      <x:c r="B82" s="13">
        <x:v>1263.63851060814</x:v>
      </x:c>
      <x:c r="C82" s="13">
        <x:v>1303.344756437365</x:v>
      </x:c>
      <x:c r="D82" s="13">
        <x:v>1343.0510022665901</x:v>
      </x:c>
      <x:c r="E82" s="13">
        <x:v>1382.7572480958149</x:v>
      </x:c>
      <x:c r="F82" s="13">
        <x:v>1422.46349392504</x:v>
      </x:c>
      <x:c r="G82" s="13">
        <x:v>1462.169739754265</x:v>
      </x:c>
      <x:c r="H82" s="13">
        <x:v>1501.8759855834901</x:v>
      </x:c>
      <x:c r="I82" s="13">
        <x:v>1541.582231412714</x:v>
      </x:c>
      <x:c r="J82" s="13">
        <x:v>1581.28847724194</x:v>
      </x:c>
      <x:c r="K82" s="13">
        <x:v>1620.994723071165</x:v>
      </x:c>
      <x:c r="L82" s="13">
        <x:v>1660.7009689003901</x:v>
      </x:c>
    </x:row>
    <x:row r="83">
      <x:c r="A83" s="2">
        <x:v>44</x:v>
      </x:c>
      <x:c r="B83" s="13">
        <x:v>1307.63851060814</x:v>
      </x:c>
      <x:c r="C83" s="13">
        <x:v>1347.344756437365</x:v>
      </x:c>
      <x:c r="D83" s="13">
        <x:v>1387.0510022665901</x:v>
      </x:c>
      <x:c r="E83" s="13">
        <x:v>1426.7572480958149</x:v>
      </x:c>
      <x:c r="F83" s="13">
        <x:v>1466.46349392504</x:v>
      </x:c>
      <x:c r="G83" s="13">
        <x:v>1506.169739754265</x:v>
      </x:c>
      <x:c r="H83" s="13">
        <x:v>1545.8759855834901</x:v>
      </x:c>
      <x:c r="I83" s="13">
        <x:v>1585.582231412714</x:v>
      </x:c>
      <x:c r="J83" s="13">
        <x:v>1625.28847724194</x:v>
      </x:c>
      <x:c r="K83" s="13">
        <x:v>1664.994723071165</x:v>
      </x:c>
      <x:c r="L83" s="13">
        <x:v>1704.7009689003901</x:v>
      </x:c>
    </x:row>
    <x:row r="84">
      <x:c r="A84" s="2">
        <x:v>45</x:v>
      </x:c>
      <x:c r="B84" s="13">
        <x:v>1351.63851060814</x:v>
      </x:c>
      <x:c r="C84" s="13">
        <x:v>1391.344756437365</x:v>
      </x:c>
      <x:c r="D84" s="13">
        <x:v>1431.0510022665901</x:v>
      </x:c>
      <x:c r="E84" s="13">
        <x:v>1470.7572480958149</x:v>
      </x:c>
      <x:c r="F84" s="13">
        <x:v>1510.46349392504</x:v>
      </x:c>
      <x:c r="G84" s="13">
        <x:v>1550.169739754265</x:v>
      </x:c>
      <x:c r="H84" s="13">
        <x:v>1589.8759855834901</x:v>
      </x:c>
      <x:c r="I84" s="13">
        <x:v>1629.582231412714</x:v>
      </x:c>
      <x:c r="J84" s="13">
        <x:v>1669.28847724194</x:v>
      </x:c>
      <x:c r="K84" s="13">
        <x:v>1708.994723071165</x:v>
      </x:c>
      <x:c r="L84" s="13">
        <x:v>1748.7009689003901</x:v>
      </x:c>
    </x:row>
    <x:row r="85">
      <x:c r="A85" s="2">
        <x:v>46</x:v>
      </x:c>
      <x:c r="B85" s="13">
        <x:v>1395.63851060814</x:v>
      </x:c>
      <x:c r="C85" s="13">
        <x:v>1435.344756437365</x:v>
      </x:c>
      <x:c r="D85" s="13">
        <x:v>1475.0510022665901</x:v>
      </x:c>
      <x:c r="E85" s="13">
        <x:v>1514.7572480958149</x:v>
      </x:c>
      <x:c r="F85" s="13">
        <x:v>1554.46349392504</x:v>
      </x:c>
      <x:c r="G85" s="13">
        <x:v>1594.169739754265</x:v>
      </x:c>
      <x:c r="H85" s="13">
        <x:v>1633.8759855834901</x:v>
      </x:c>
      <x:c r="I85" s="13">
        <x:v>1673.582231412714</x:v>
      </x:c>
      <x:c r="J85" s="13">
        <x:v>1713.28847724194</x:v>
      </x:c>
      <x:c r="K85" s="13">
        <x:v>1752.994723071165</x:v>
      </x:c>
      <x:c r="L85" s="13">
        <x:v>1792.7009689003901</x:v>
      </x:c>
    </x:row>
    <x:row r="86">
      <x:c r="A86" s="2">
        <x:v>47</x:v>
      </x:c>
      <x:c r="B86" s="13">
        <x:v>1439.63851060814</x:v>
      </x:c>
      <x:c r="C86" s="13">
        <x:v>1479.344756437365</x:v>
      </x:c>
      <x:c r="D86" s="13">
        <x:v>1519.0510022665901</x:v>
      </x:c>
      <x:c r="E86" s="13">
        <x:v>1558.7572480958149</x:v>
      </x:c>
      <x:c r="F86" s="13">
        <x:v>1598.46349392504</x:v>
      </x:c>
      <x:c r="G86" s="13">
        <x:v>1638.169739754265</x:v>
      </x:c>
      <x:c r="H86" s="13">
        <x:v>1677.8759855834901</x:v>
      </x:c>
      <x:c r="I86" s="13">
        <x:v>1717.582231412714</x:v>
      </x:c>
      <x:c r="J86" s="13">
        <x:v>1757.28847724194</x:v>
      </x:c>
      <x:c r="K86" s="13">
        <x:v>1796.994723071165</x:v>
      </x:c>
      <x:c r="L86" s="13">
        <x:v>1836.7009689003901</x:v>
      </x:c>
    </x:row>
    <x:row r="87">
      <x:c r="A87" s="2">
        <x:v>48</x:v>
      </x:c>
      <x:c r="B87" s="13">
        <x:v>1483.63851060814</x:v>
      </x:c>
      <x:c r="C87" s="13">
        <x:v>1523.344756437365</x:v>
      </x:c>
      <x:c r="D87" s="13">
        <x:v>1563.0510022665901</x:v>
      </x:c>
      <x:c r="E87" s="13">
        <x:v>1602.7572480958149</x:v>
      </x:c>
      <x:c r="F87" s="13">
        <x:v>1642.46349392504</x:v>
      </x:c>
      <x:c r="G87" s="13">
        <x:v>1682.169739754265</x:v>
      </x:c>
      <x:c r="H87" s="13">
        <x:v>1721.8759855834901</x:v>
      </x:c>
      <x:c r="I87" s="13">
        <x:v>1761.582231412714</x:v>
      </x:c>
      <x:c r="J87" s="13">
        <x:v>1801.28847724194</x:v>
      </x:c>
      <x:c r="K87" s="13">
        <x:v>1840.994723071165</x:v>
      </x:c>
      <x:c r="L87" s="13">
        <x:v>1880.7009689003901</x:v>
      </x:c>
    </x:row>
    <x:row r="88">
      <x:c r="A88" s="2">
        <x:v>49</x:v>
      </x:c>
      <x:c r="B88" s="13">
        <x:v>1527.63851060814</x:v>
      </x:c>
      <x:c r="C88" s="13">
        <x:v>1567.344756437365</x:v>
      </x:c>
      <x:c r="D88" s="13">
        <x:v>1607.0510022665901</x:v>
      </x:c>
      <x:c r="E88" s="13">
        <x:v>1646.7572480958149</x:v>
      </x:c>
      <x:c r="F88" s="13">
        <x:v>1686.46349392504</x:v>
      </x:c>
      <x:c r="G88" s="13">
        <x:v>1726.169739754265</x:v>
      </x:c>
      <x:c r="H88" s="13">
        <x:v>1765.8759855834901</x:v>
      </x:c>
      <x:c r="I88" s="13">
        <x:v>1805.582231412714</x:v>
      </x:c>
      <x:c r="J88" s="13">
        <x:v>1845.28847724194</x:v>
      </x:c>
      <x:c r="K88" s="13">
        <x:v>1884.994723071165</x:v>
      </x:c>
      <x:c r="L88" s="13">
        <x:v>1924.7009689003901</x:v>
      </x:c>
    </x:row>
    <x:row r="89">
      <x:c r="A89" s="2">
        <x:v>50</x:v>
      </x:c>
      <x:c r="B89" s="13">
        <x:v>1571.63851060814</x:v>
      </x:c>
      <x:c r="C89" s="13">
        <x:v>1611.344756437365</x:v>
      </x:c>
      <x:c r="D89" s="13">
        <x:v>1651.0510022665901</x:v>
      </x:c>
      <x:c r="E89" s="13">
        <x:v>1690.7572480958149</x:v>
      </x:c>
      <x:c r="F89" s="13">
        <x:v>1730.46349392504</x:v>
      </x:c>
      <x:c r="G89" s="13">
        <x:v>1770.169739754265</x:v>
      </x:c>
      <x:c r="H89" s="13">
        <x:v>1809.8759855834901</x:v>
      </x:c>
      <x:c r="I89" s="13">
        <x:v>1849.582231412714</x:v>
      </x:c>
      <x:c r="J89" s="13">
        <x:v>1889.28847724194</x:v>
      </x:c>
      <x:c r="K89" s="13">
        <x:v>1928.994723071165</x:v>
      </x:c>
      <x:c r="L89" s="13">
        <x:v>1968.7009689003901</x:v>
      </x:c>
    </x:row>
    <x:row r="90">
      <x:c r="A90" s="2">
        <x:v>51</x:v>
      </x:c>
      <x:c r="B90" s="13">
        <x:v>1615.63851060814</x:v>
      </x:c>
      <x:c r="C90" s="13">
        <x:v>1655.344756437365</x:v>
      </x:c>
      <x:c r="D90" s="13">
        <x:v>1695.0510022665901</x:v>
      </x:c>
      <x:c r="E90" s="13">
        <x:v>1734.7572480958149</x:v>
      </x:c>
      <x:c r="F90" s="13">
        <x:v>1774.46349392504</x:v>
      </x:c>
      <x:c r="G90" s="13">
        <x:v>1814.169739754265</x:v>
      </x:c>
      <x:c r="H90" s="13">
        <x:v>1853.8759855834901</x:v>
      </x:c>
      <x:c r="I90" s="13">
        <x:v>1893.582231412714</x:v>
      </x:c>
      <x:c r="J90" s="13">
        <x:v>1933.28847724194</x:v>
      </x:c>
      <x:c r="K90" s="13">
        <x:v>1972.994723071165</x:v>
      </x:c>
      <x:c r="L90" s="13">
        <x:v>2012.7009689003901</x:v>
      </x:c>
    </x:row>
    <x:row r="91">
      <x:c r="A91" s="2">
        <x:v>52</x:v>
      </x:c>
      <x:c r="B91" s="13">
        <x:v>1659.63851060814</x:v>
      </x:c>
      <x:c r="C91" s="13">
        <x:v>1699.344756437365</x:v>
      </x:c>
      <x:c r="D91" s="13">
        <x:v>1739.0510022665901</x:v>
      </x:c>
      <x:c r="E91" s="13">
        <x:v>1778.7572480958149</x:v>
      </x:c>
      <x:c r="F91" s="13">
        <x:v>1818.46349392504</x:v>
      </x:c>
      <x:c r="G91" s="13">
        <x:v>1858.169739754265</x:v>
      </x:c>
      <x:c r="H91" s="13">
        <x:v>1897.8759855834901</x:v>
      </x:c>
      <x:c r="I91" s="13">
        <x:v>1937.582231412714</x:v>
      </x:c>
      <x:c r="J91" s="13">
        <x:v>1977.28847724194</x:v>
      </x:c>
      <x:c r="K91" s="13">
        <x:v>2016.994723071165</x:v>
      </x:c>
      <x:c r="L91" s="13">
        <x:v>2056.7009689003899</x:v>
      </x:c>
    </x:row>
    <x:row r="92">
      <x:c r="A92" s="2">
        <x:v>53</x:v>
      </x:c>
      <x:c r="B92" s="13">
        <x:v>1703.63851060814</x:v>
      </x:c>
      <x:c r="C92" s="13">
        <x:v>1743.344756437365</x:v>
      </x:c>
      <x:c r="D92" s="13">
        <x:v>1783.0510022665901</x:v>
      </x:c>
      <x:c r="E92" s="13">
        <x:v>1822.7572480958149</x:v>
      </x:c>
      <x:c r="F92" s="13">
        <x:v>1862.46349392504</x:v>
      </x:c>
      <x:c r="G92" s="13">
        <x:v>1902.169739754265</x:v>
      </x:c>
      <x:c r="H92" s="13">
        <x:v>1941.8759855834901</x:v>
      </x:c>
      <x:c r="I92" s="13">
        <x:v>1981.582231412714</x:v>
      </x:c>
      <x:c r="J92" s="13">
        <x:v>2021.28847724194</x:v>
      </x:c>
      <x:c r="K92" s="13">
        <x:v>2060.994723071165</x:v>
      </x:c>
      <x:c r="L92" s="13">
        <x:v>2100.7009689003899</x:v>
      </x:c>
    </x:row>
    <x:row r="93">
      <x:c r="A93" s="2">
        <x:v>54</x:v>
      </x:c>
      <x:c r="B93" s="13">
        <x:v>1747.63851060814</x:v>
      </x:c>
      <x:c r="C93" s="13">
        <x:v>1787.344756437365</x:v>
      </x:c>
      <x:c r="D93" s="13">
        <x:v>1827.0510022665901</x:v>
      </x:c>
      <x:c r="E93" s="13">
        <x:v>1866.7572480958149</x:v>
      </x:c>
      <x:c r="F93" s="13">
        <x:v>1906.46349392504</x:v>
      </x:c>
      <x:c r="G93" s="13">
        <x:v>1946.169739754265</x:v>
      </x:c>
      <x:c r="H93" s="13">
        <x:v>1985.8759855834901</x:v>
      </x:c>
      <x:c r="I93" s="13">
        <x:v>2025.582231412714</x:v>
      </x:c>
      <x:c r="J93" s="13">
        <x:v>2065.2884772419402</x:v>
      </x:c>
      <x:c r="K93" s="13">
        <x:v>2104.994723071165</x:v>
      </x:c>
      <x:c r="L93" s="13">
        <x:v>2144.7009689003899</x:v>
      </x:c>
    </x:row>
    <x:row r="94">
      <x:c r="A94" s="2">
        <x:v>55</x:v>
      </x:c>
      <x:c r="B94" s="13">
        <x:v>1791.63851060814</x:v>
      </x:c>
      <x:c r="C94" s="13">
        <x:v>1831.344756437365</x:v>
      </x:c>
      <x:c r="D94" s="13">
        <x:v>1871.0510022665901</x:v>
      </x:c>
      <x:c r="E94" s="13">
        <x:v>1910.7572480958149</x:v>
      </x:c>
      <x:c r="F94" s="13">
        <x:v>1950.46349392504</x:v>
      </x:c>
      <x:c r="G94" s="13">
        <x:v>1990.169739754265</x:v>
      </x:c>
      <x:c r="H94" s="13">
        <x:v>2029.8759855834901</x:v>
      </x:c>
      <x:c r="I94" s="13">
        <x:v>2069.582231412714</x:v>
      </x:c>
      <x:c r="J94" s="13">
        <x:v>2109.2884772419402</x:v>
      </x:c>
      <x:c r="K94" s="13">
        <x:v>2148.994723071165</x:v>
      </x:c>
      <x:c r="L94" s="13">
        <x:v>2188.7009689003899</x:v>
      </x:c>
    </x:row>
    <x:row r="95">
      <x:c r="A95" s="2">
        <x:v>56</x:v>
      </x:c>
      <x:c r="B95" s="13">
        <x:v>1835.63851060814</x:v>
      </x:c>
      <x:c r="C95" s="13">
        <x:v>1875.344756437365</x:v>
      </x:c>
      <x:c r="D95" s="13">
        <x:v>1915.0510022665901</x:v>
      </x:c>
      <x:c r="E95" s="13">
        <x:v>1954.7572480958149</x:v>
      </x:c>
      <x:c r="F95" s="13">
        <x:v>1994.46349392504</x:v>
      </x:c>
      <x:c r="G95" s="13">
        <x:v>2034.169739754265</x:v>
      </x:c>
      <x:c r="H95" s="13">
        <x:v>2073.8759855834901</x:v>
      </x:c>
      <x:c r="I95" s="13">
        <x:v>2113.582231412714</x:v>
      </x:c>
      <x:c r="J95" s="13">
        <x:v>2153.2884772419402</x:v>
      </x:c>
      <x:c r="K95" s="13">
        <x:v>2192.994723071165</x:v>
      </x:c>
      <x:c r="L95" s="13">
        <x:v>2232.7009689003899</x:v>
      </x:c>
    </x:row>
    <x:row r="96">
      <x:c r="A96" s="2">
        <x:v>57</x:v>
      </x:c>
      <x:c r="B96" s="13">
        <x:v>1879.63851060814</x:v>
      </x:c>
      <x:c r="C96" s="13">
        <x:v>1919.344756437365</x:v>
      </x:c>
      <x:c r="D96" s="13">
        <x:v>1959.0510022665901</x:v>
      </x:c>
      <x:c r="E96" s="13">
        <x:v>1998.7572480958149</x:v>
      </x:c>
      <x:c r="F96" s="13">
        <x:v>2038.46349392504</x:v>
      </x:c>
      <x:c r="G96" s="13">
        <x:v>2078.1697397542648</x:v>
      </x:c>
      <x:c r="H96" s="13">
        <x:v>2117.8759855834901</x:v>
      </x:c>
      <x:c r="I96" s="13">
        <x:v>2157.582231412714</x:v>
      </x:c>
      <x:c r="J96" s="13">
        <x:v>2197.2884772419402</x:v>
      </x:c>
      <x:c r="K96" s="13">
        <x:v>2236.994723071165</x:v>
      </x:c>
      <x:c r="L96" s="13">
        <x:v>2276.7009689003899</x:v>
      </x:c>
    </x:row>
    <x:row r="97">
      <x:c r="A97" s="2">
        <x:v>58</x:v>
      </x:c>
      <x:c r="B97" s="13">
        <x:v>1923.63851060814</x:v>
      </x:c>
      <x:c r="C97" s="13">
        <x:v>1963.344756437365</x:v>
      </x:c>
      <x:c r="D97" s="13">
        <x:v>2003.0510022665901</x:v>
      </x:c>
      <x:c r="E97" s="13">
        <x:v>2042.7572480958149</x:v>
      </x:c>
      <x:c r="F97" s="13">
        <x:v>2082.46349392504</x:v>
      </x:c>
      <x:c r="G97" s="13">
        <x:v>2122.1697397542648</x:v>
      </x:c>
      <x:c r="H97" s="13">
        <x:v>2161.8759855834901</x:v>
      </x:c>
      <x:c r="I97" s="13">
        <x:v>2201.582231412714</x:v>
      </x:c>
      <x:c r="J97" s="13">
        <x:v>2241.2884772419402</x:v>
      </x:c>
      <x:c r="K97" s="13">
        <x:v>2280.994723071165</x:v>
      </x:c>
      <x:c r="L97" s="13">
        <x:v>2320.7009689003899</x:v>
      </x:c>
    </x:row>
    <x:row r="98">
      <x:c r="A98" s="2">
        <x:v>59</x:v>
      </x:c>
      <x:c r="B98" s="13">
        <x:v>1967.63851060814</x:v>
      </x:c>
      <x:c r="C98" s="13">
        <x:v>2007.344756437365</x:v>
      </x:c>
      <x:c r="D98" s="13">
        <x:v>2047.0510022665901</x:v>
      </x:c>
      <x:c r="E98" s="13">
        <x:v>2086.7572480958152</x:v>
      </x:c>
      <x:c r="F98" s="13">
        <x:v>2126.46349392504</x:v>
      </x:c>
      <x:c r="G98" s="13">
        <x:v>2166.1697397542648</x:v>
      </x:c>
      <x:c r="H98" s="13">
        <x:v>2205.8759855834901</x:v>
      </x:c>
      <x:c r="I98" s="13">
        <x:v>2245.582231412714</x:v>
      </x:c>
      <x:c r="J98" s="13">
        <x:v>2285.2884772419402</x:v>
      </x:c>
      <x:c r="K98" s="13">
        <x:v>2324.994723071165</x:v>
      </x:c>
      <x:c r="L98" s="13">
        <x:v>2364.7009689003899</x:v>
      </x:c>
    </x:row>
    <x:row r="99">
      <x:c r="A99" s="2">
        <x:v>60</x:v>
      </x:c>
      <x:c r="B99" s="13">
        <x:v>2011.63851060814</x:v>
      </x:c>
      <x:c r="C99" s="13">
        <x:v>2051.344756437365</x:v>
      </x:c>
      <x:c r="D99" s="13">
        <x:v>2091.0510022665899</x:v>
      </x:c>
      <x:c r="E99" s="13">
        <x:v>2130.7572480958152</x:v>
      </x:c>
      <x:c r="F99" s="13">
        <x:v>2170.46349392504</x:v>
      </x:c>
      <x:c r="G99" s="13">
        <x:v>2210.1697397542648</x:v>
      </x:c>
      <x:c r="H99" s="13">
        <x:v>2249.8759855834901</x:v>
      </x:c>
      <x:c r="I99" s="13">
        <x:v>2289.582231412714</x:v>
      </x:c>
      <x:c r="J99" s="13">
        <x:v>2329.2884772419402</x:v>
      </x:c>
      <x:c r="K99" s="13">
        <x:v>2368.994723071165</x:v>
      </x:c>
      <x:c r="L99" s="13">
        <x:v>2408.7009689003899</x:v>
      </x:c>
    </x:row>
    <x:row r="100">
      <x:c r="A100" s="2">
        <x:v>61</x:v>
      </x:c>
      <x:c r="B100" s="13">
        <x:v>2055.6385106081402</x:v>
      </x:c>
      <x:c r="C100" s="13">
        <x:v>2095.344756437365</x:v>
      </x:c>
      <x:c r="D100" s="13">
        <x:v>2135.0510022665899</x:v>
      </x:c>
      <x:c r="E100" s="13">
        <x:v>2174.7572480958152</x:v>
      </x:c>
      <x:c r="F100" s="13">
        <x:v>2214.46349392504</x:v>
      </x:c>
      <x:c r="G100" s="13">
        <x:v>2254.1697397542648</x:v>
      </x:c>
      <x:c r="H100" s="13">
        <x:v>2293.8759855834901</x:v>
      </x:c>
      <x:c r="I100" s="13">
        <x:v>2333.582231412714</x:v>
      </x:c>
      <x:c r="J100" s="13">
        <x:v>2373.2884772419402</x:v>
      </x:c>
      <x:c r="K100" s="13">
        <x:v>2412.994723071165</x:v>
      </x:c>
      <x:c r="L100" s="13">
        <x:v>2452.7009689003899</x:v>
      </x:c>
    </x:row>
    <x:row r="101">
      <x:c r="A101" s="2">
        <x:v>62</x:v>
      </x:c>
      <x:c r="B101" s="13">
        <x:v>2099.6385106081402</x:v>
      </x:c>
      <x:c r="C101" s="13">
        <x:v>2139.344756437365</x:v>
      </x:c>
      <x:c r="D101" s="13">
        <x:v>2179.0510022665899</x:v>
      </x:c>
      <x:c r="E101" s="13">
        <x:v>2218.7572480958152</x:v>
      </x:c>
      <x:c r="F101" s="13">
        <x:v>2258.46349392504</x:v>
      </x:c>
      <x:c r="G101" s="13">
        <x:v>2298.1697397542648</x:v>
      </x:c>
      <x:c r="H101" s="13">
        <x:v>2337.8759855834901</x:v>
      </x:c>
      <x:c r="I101" s="13">
        <x:v>2377.582231412714</x:v>
      </x:c>
      <x:c r="J101" s="13">
        <x:v>2417.2884772419402</x:v>
      </x:c>
      <x:c r="K101" s="13">
        <x:v>2456.994723071165</x:v>
      </x:c>
      <x:c r="L101" s="13">
        <x:v>2496.7009689003899</x:v>
      </x:c>
    </x:row>
    <x:row r="102">
      <x:c r="A102" s="2">
        <x:v>63</x:v>
      </x:c>
      <x:c r="B102" s="13">
        <x:v>2143.6385106081402</x:v>
      </x:c>
      <x:c r="C102" s="13">
        <x:v>2183.344756437365</x:v>
      </x:c>
      <x:c r="D102" s="13">
        <x:v>2223.0510022665899</x:v>
      </x:c>
      <x:c r="E102" s="13">
        <x:v>2262.7572480958152</x:v>
      </x:c>
      <x:c r="F102" s="13">
        <x:v>2302.46349392504</x:v>
      </x:c>
      <x:c r="G102" s="13">
        <x:v>2342.1697397542648</x:v>
      </x:c>
      <x:c r="H102" s="13">
        <x:v>2381.8759855834901</x:v>
      </x:c>
      <x:c r="I102" s="13">
        <x:v>2421.582231412714</x:v>
      </x:c>
      <x:c r="J102" s="13">
        <x:v>2461.2884772419402</x:v>
      </x:c>
      <x:c r="K102" s="13">
        <x:v>2500.994723071165</x:v>
      </x:c>
      <x:c r="L102" s="13">
        <x:v>2540.7009689003899</x:v>
      </x:c>
    </x:row>
    <x:row r="105">
      <x:c r="A105" s="20" t="s">
        <x:v>131</x:v>
      </x:c>
      <x:c r="B105" s="20"/>
      <x:c r="C105" s="20"/>
      <x:c r="D105" s="20"/>
      <x:c r="E105" s="20"/>
      <x:c r="F105" s="20"/>
      <x:c r="G105" s="20"/>
      <x:c r="H105" s="20"/>
      <x:c r="I105" s="20"/>
      <x:c r="J105" s="20"/>
      <x:c r="K105" s="20"/>
      <x:c r="L105" s="20"/>
      <x:c r="M105" s="20"/>
    </x:row>
    <x:row r="106">
      <x:c r="A106" s="20"/>
      <x:c r="B106" s="20"/>
      <x:c r="C106" s="20"/>
      <x:c r="D106" s="20"/>
      <x:c r="E106" s="20"/>
      <x:c r="F106" s="20"/>
      <x:c r="G106" s="20"/>
      <x:c r="H106" s="20"/>
      <x:c r="I106" s="20"/>
      <x:c r="J106" s="20"/>
      <x:c r="K106" s="20"/>
      <x:c r="L106" s="20"/>
      <x:c r="M106" s="20"/>
    </x:row>
    <x:row r="107">
      <x:c r="A107" s="20"/>
      <x:c r="B107" s="20"/>
      <x:c r="C107" s="20"/>
      <x:c r="D107" s="20"/>
      <x:c r="E107" s="20"/>
      <x:c r="F107" s="20"/>
      <x:c r="G107" s="20"/>
      <x:c r="H107" s="20"/>
      <x:c r="I107" s="20"/>
      <x:c r="J107" s="20"/>
      <x:c r="K107" s="20"/>
      <x:c r="L107" s="20"/>
      <x:c r="M107" s="20"/>
    </x:row>
    <x:row r="108">
      <x:c r="A108" s="20"/>
      <x:c r="B108" s="20"/>
      <x:c r="C108" s="20"/>
      <x:c r="D108" s="20"/>
      <x:c r="E108" s="20"/>
      <x:c r="F108" s="20"/>
      <x:c r="G108" s="20"/>
      <x:c r="H108" s="20"/>
      <x:c r="I108" s="20"/>
      <x:c r="J108" s="20"/>
      <x:c r="K108" s="20"/>
      <x:c r="L108" s="20"/>
      <x:c r="M108" s="20"/>
    </x:row>
  </x:sheetData>
  <x:mergeCells>
    <x:mergeCell ref="A105:M108"/>
    <x:mergeCell ref="A1:M2"/>
    <x:mergeCell ref="A3:M3"/>
    <x:mergeCell ref="A8:H10"/>
    <x:mergeCell ref="A12:D12"/>
    <x:mergeCell ref="A37:L37"/>
    <x:mergeCell ref="F31:M34"/>
  </x:mergeCells>
  <x:conditionalFormatting sqref="B39:L102">
    <x:cfRule type="colorScale" priority="1">
      <x:colorScale>
        <x:cfvo type="min"/>
        <x:cfvo type="num" val="0"/>
        <x:cfvo type="max"/>
        <x:color rgb="FFF4CCCC"/>
        <x:color rgb="FFFFF2CC"/>
        <x:color rgb="FFD9EAD3"/>
      </x:colorScale>
    </x:cfRule>
  </x:conditionalFormatting>
  <x:pageMargins left="0.7" right="0.7" top="0.75" bottom="0.75" header="0.3" footer="0.3"/>
  <x:drawing xmlns:r="http://schemas.openxmlformats.org/officeDocument/2006/relationships" r:id="R1a07ff2578364a56"/>
</x:worksheet>
</file>

<file path=xl/worksheets/sheet8.xml><?xml version="1.0" encoding="utf-8"?>
<x:worksheet xmlns:x="http://schemas.openxmlformats.org/spreadsheetml/2006/main">
  <x:sheetViews>
    <x:sheetView showGridLines="0" workbookViewId="0"/>
  </x:sheetViews>
  <x:sheetFormatPr baseColWidth="10" defaultColWidth="8.83203125" defaultRowHeight="15"/>
  <x:cols>
    <x:col min="1" max="1" width="5.6640625" customWidth="1"/>
    <x:col min="2" max="2" width="23.6640625" customWidth="1"/>
    <x:col min="3" max="8" width="18.6640625" customWidth="1"/>
  </x:cols>
  <x:sheetData>
    <x:row r="2">
      <x:c r="B2" s="14" t="s">
        <x:v>132</x:v>
      </x:c>
      <x:c r="C2" s="14"/>
      <x:c r="D2" s="14"/>
      <x:c r="E2" s="14"/>
      <x:c r="F2" s="14"/>
      <x:c r="G2" s="14"/>
      <x:c r="H2" s="14"/>
    </x:row>
    <x:row r="3">
      <x:c r="B3" s="14"/>
      <x:c r="C3" s="14"/>
      <x:c r="D3" s="14"/>
      <x:c r="E3" s="14"/>
      <x:c r="F3" s="14"/>
      <x:c r="G3" s="14"/>
      <x:c r="H3" s="14"/>
    </x:row>
    <x:row r="4">
      <x:c r="B4" s="16" t="s">
        <x:v>133</x:v>
      </x:c>
      <x:c r="C4" s="16"/>
      <x:c r="D4" s="16"/>
      <x:c r="E4" s="16"/>
      <x:c r="F4" s="16"/>
      <x:c r="G4" s="16"/>
      <x:c r="H4" s="16"/>
    </x:row>
    <x:row r="6">
      <x:c r="B6" s="18" t="s">
        <x:v>134</x:v>
      </x:c>
      <x:c r="C6" s="18"/>
      <x:c r="D6" s="18"/>
      <x:c r="E6" s="18"/>
      <x:c r="F6" s="18"/>
      <x:c r="G6" s="18"/>
      <x:c r="H6" s="18"/>
    </x:row>
    <x:row r="7">
      <x:c r="B7" s="21" t="s">
        <x:v>135</x:v>
      </x:c>
      <x:c r="C7" s="21"/>
      <x:c r="D7" s="21"/>
      <x:c r="E7" s="21"/>
      <x:c r="F7" s="21"/>
      <x:c r="G7" s="21"/>
      <x:c r="H7" s="21"/>
    </x:row>
    <x:row r="8">
      <x:c r="B8" s="21"/>
      <x:c r="C8" s="21"/>
      <x:c r="D8" s="21"/>
      <x:c r="E8" s="21"/>
      <x:c r="F8" s="21"/>
      <x:c r="G8" s="21"/>
      <x:c r="H8" s="21"/>
    </x:row>
    <x:row r="9">
      <x:c r="B9" s="21"/>
      <x:c r="C9" s="21"/>
      <x:c r="D9" s="21"/>
      <x:c r="E9" s="21"/>
      <x:c r="F9" s="21"/>
      <x:c r="G9" s="21"/>
      <x:c r="H9" s="21"/>
    </x:row>
    <x:row r="11">
      <x:c r="B11" s="18" t="s">
        <x:v>136</x:v>
      </x:c>
      <x:c r="C11" s="18"/>
      <x:c r="D11" s="18"/>
      <x:c r="E11" s="18"/>
      <x:c r="F11" s="18"/>
      <x:c r="G11" s="18"/>
      <x:c r="H11" s="18"/>
    </x:row>
    <x:row r="12">
      <x:c r="B12" s="21" t="s">
        <x:v>137</x:v>
      </x:c>
      <x:c r="C12" s="21"/>
      <x:c r="D12" s="21"/>
      <x:c r="E12" s="21"/>
      <x:c r="F12" s="21"/>
      <x:c r="G12" s="21"/>
      <x:c r="H12" s="21"/>
    </x:row>
    <x:row r="13">
      <x:c r="B13" s="21"/>
      <x:c r="C13" s="21"/>
      <x:c r="D13" s="21"/>
      <x:c r="E13" s="21"/>
      <x:c r="F13" s="21"/>
      <x:c r="G13" s="21"/>
      <x:c r="H13" s="21"/>
    </x:row>
    <x:row r="14">
      <x:c r="B14" s="21"/>
      <x:c r="C14" s="21"/>
      <x:c r="D14" s="21"/>
      <x:c r="E14" s="21"/>
      <x:c r="F14" s="21"/>
      <x:c r="G14" s="21"/>
      <x:c r="H14" s="21"/>
    </x:row>
    <x:row r="15">
      <x:c r="B15" s="21"/>
      <x:c r="C15" s="21"/>
      <x:c r="D15" s="21"/>
      <x:c r="E15" s="21"/>
      <x:c r="F15" s="21"/>
      <x:c r="G15" s="21"/>
      <x:c r="H15" s="21"/>
    </x:row>
    <x:row r="17">
      <x:c r="B17" s="18" t="s">
        <x:v>138</x:v>
      </x:c>
      <x:c r="C17" s="18"/>
      <x:c r="D17" s="18"/>
      <x:c r="E17" s="18"/>
      <x:c r="F17" s="18"/>
      <x:c r="G17" s="18"/>
      <x:c r="H17" s="18"/>
    </x:row>
    <x:row r="19" ht="38" customHeight="1">
      <x:c r="B19" s="6" t="s">
        <x:v>139</x:v>
      </x:c>
      <x:c r="C19" s="9" t="s">
        <x:v>140</x:v>
      </x:c>
      <x:c r="D19" s="21" t="s">
        <x:v>141</x:v>
      </x:c>
      <x:c r="E19" s="21"/>
      <x:c r="F19" s="21"/>
      <x:c r="G19" s="21"/>
      <x:c r="H19" s="21"/>
    </x:row>
    <x:row r="20" ht="38" customHeight="1">
      <x:c r="B20" s="6" t="s">
        <x:v>142</x:v>
      </x:c>
      <x:c r="C20" s="9" t="s">
        <x:v>143</x:v>
      </x:c>
      <x:c r="D20" s="21" t="s">
        <x:v>144</x:v>
      </x:c>
      <x:c r="E20" s="21"/>
      <x:c r="F20" s="21"/>
      <x:c r="G20" s="21"/>
      <x:c r="H20" s="21"/>
    </x:row>
    <x:row r="21" ht="38" customHeight="1">
      <x:c r="B21" s="6" t="s">
        <x:v>145</x:v>
      </x:c>
      <x:c r="C21" s="9" t="s">
        <x:v>146</x:v>
      </x:c>
      <x:c r="D21" s="21" t="s">
        <x:v>147</x:v>
      </x:c>
      <x:c r="E21" s="21"/>
      <x:c r="F21" s="21"/>
      <x:c r="G21" s="21"/>
      <x:c r="H21" s="21"/>
    </x:row>
    <x:row r="22" ht="38" customHeight="1">
      <x:c r="B22" s="6" t="s">
        <x:v>148</x:v>
      </x:c>
      <x:c r="C22" s="9" t="s">
        <x:v>149</x:v>
      </x:c>
      <x:c r="D22" s="21" t="s">
        <x:v>150</x:v>
      </x:c>
      <x:c r="E22" s="21"/>
      <x:c r="F22" s="21"/>
      <x:c r="G22" s="21"/>
      <x:c r="H22" s="21"/>
    </x:row>
    <x:row r="23" ht="38" customHeight="1">
      <x:c r="B23" s="6" t="s">
        <x:v>151</x:v>
      </x:c>
      <x:c r="C23" s="9" t="s">
        <x:v>152</x:v>
      </x:c>
      <x:c r="D23" s="21" t="s">
        <x:v>153</x:v>
      </x:c>
      <x:c r="E23" s="21"/>
      <x:c r="F23" s="21"/>
      <x:c r="G23" s="21"/>
      <x:c r="H23" s="21"/>
    </x:row>
    <x:row r="24" ht="38" customHeight="1">
      <x:c r="B24" s="6" t="s">
        <x:v>154</x:v>
      </x:c>
      <x:c r="C24" s="9" t="s">
        <x:v>155</x:v>
      </x:c>
      <x:c r="D24" s="21" t="s">
        <x:v>156</x:v>
      </x:c>
      <x:c r="E24" s="21"/>
      <x:c r="F24" s="21"/>
      <x:c r="G24" s="21"/>
      <x:c r="H24" s="21"/>
    </x:row>
    <x:row r="25" ht="38" customHeight="1">
      <x:c r="B25" s="6" t="s">
        <x:v>157</x:v>
      </x:c>
      <x:c r="C25" s="9" t="s">
        <x:v>158</x:v>
      </x:c>
      <x:c r="D25" s="21" t="s">
        <x:v>159</x:v>
      </x:c>
      <x:c r="E25" s="21"/>
      <x:c r="F25" s="21"/>
      <x:c r="G25" s="21"/>
      <x:c r="H25" s="21"/>
    </x:row>
    <x:row r="27">
      <x:c r="B27" s="18" t="s">
        <x:v>160</x:v>
      </x:c>
      <x:c r="C27" s="18"/>
      <x:c r="D27" s="18"/>
      <x:c r="E27" s="18"/>
      <x:c r="F27" s="18"/>
      <x:c r="G27" s="18"/>
      <x:c r="H27" s="18"/>
    </x:row>
    <x:row r="28">
      <x:c r="B28" s="17" t="s">
        <x:v>161</x:v>
      </x:c>
      <x:c r="C28" s="17"/>
      <x:c r="D28" s="17"/>
      <x:c r="E28" s="17"/>
      <x:c r="F28" s="17"/>
      <x:c r="G28" s="17"/>
      <x:c r="H28" s="17"/>
    </x:row>
    <x:row r="29">
      <x:c r="B29" s="17"/>
      <x:c r="C29" s="17"/>
      <x:c r="D29" s="17"/>
      <x:c r="E29" s="17"/>
      <x:c r="F29" s="17"/>
      <x:c r="G29" s="17"/>
      <x:c r="H29" s="17"/>
    </x:row>
    <x:row r="30">
      <x:c r="B30" s="17"/>
      <x:c r="C30" s="17"/>
      <x:c r="D30" s="17"/>
      <x:c r="E30" s="17"/>
      <x:c r="F30" s="17"/>
      <x:c r="G30" s="17"/>
      <x:c r="H30" s="17"/>
    </x:row>
    <x:row r="31">
      <x:c r="B31" s="17"/>
      <x:c r="C31" s="17"/>
      <x:c r="D31" s="17"/>
      <x:c r="E31" s="17"/>
      <x:c r="F31" s="17"/>
      <x:c r="G31" s="17"/>
      <x:c r="H31" s="17"/>
    </x:row>
    <x:row r="32">
      <x:c r="B32" s="17"/>
      <x:c r="C32" s="17"/>
      <x:c r="D32" s="17"/>
      <x:c r="E32" s="17"/>
      <x:c r="F32" s="17"/>
      <x:c r="G32" s="17"/>
      <x:c r="H32" s="17"/>
    </x:row>
    <x:row r="33">
      <x:c r="B33" s="17"/>
      <x:c r="C33" s="17"/>
      <x:c r="D33" s="17"/>
      <x:c r="E33" s="17"/>
      <x:c r="F33" s="17"/>
      <x:c r="G33" s="17"/>
      <x:c r="H33" s="17"/>
    </x:row>
    <x:row r="35">
      <x:c r="B35" s="18" t="s">
        <x:v>162</x:v>
      </x:c>
      <x:c r="C35" s="18"/>
      <x:c r="D35" s="18"/>
      <x:c r="E35" s="18"/>
      <x:c r="F35" s="18"/>
      <x:c r="G35" s="18"/>
      <x:c r="H35" s="18"/>
    </x:row>
    <x:row r="36">
      <x:c r="B36" s="19" t="s">
        <x:v>163</x:v>
      </x:c>
      <x:c r="C36" s="19"/>
      <x:c r="D36" s="19"/>
      <x:c r="E36" s="19"/>
      <x:c r="F36" s="19"/>
      <x:c r="G36" s="19"/>
      <x:c r="H36" s="19"/>
    </x:row>
    <x:row r="37">
      <x:c r="B37" s="19"/>
      <x:c r="C37" s="19"/>
      <x:c r="D37" s="19"/>
      <x:c r="E37" s="19"/>
      <x:c r="F37" s="19"/>
      <x:c r="G37" s="19"/>
      <x:c r="H37" s="19"/>
    </x:row>
    <x:row r="38">
      <x:c r="B38" s="19"/>
      <x:c r="C38" s="19"/>
      <x:c r="D38" s="19"/>
      <x:c r="E38" s="19"/>
      <x:c r="F38" s="19"/>
      <x:c r="G38" s="19"/>
      <x:c r="H38" s="19"/>
    </x:row>
    <x:row r="39">
      <x:c r="B39" s="19"/>
      <x:c r="C39" s="19"/>
      <x:c r="D39" s="19"/>
      <x:c r="E39" s="19"/>
      <x:c r="F39" s="19"/>
      <x:c r="G39" s="19"/>
      <x:c r="H39" s="19"/>
    </x:row>
  </x:sheetData>
  <x:mergeCells>
    <x:mergeCell ref="B28:H33"/>
    <x:mergeCell ref="B35:H35"/>
    <x:mergeCell ref="B36:H39"/>
    <x:mergeCell ref="D22:H22"/>
    <x:mergeCell ref="D23:H23"/>
    <x:mergeCell ref="D24:H24"/>
    <x:mergeCell ref="D25:H25"/>
    <x:mergeCell ref="B27:H27"/>
    <x:mergeCell ref="B12:H15"/>
    <x:mergeCell ref="B17:H17"/>
    <x:mergeCell ref="D19:H19"/>
    <x:mergeCell ref="D20:H20"/>
    <x:mergeCell ref="D21:H21"/>
    <x:mergeCell ref="B2:H3"/>
    <x:mergeCell ref="B4:H4"/>
    <x:mergeCell ref="B6:H6"/>
    <x:mergeCell ref="B7:H9"/>
    <x:mergeCell ref="B11:H11"/>
  </x:mergeCells>
  <x:pageMargins left="0.7" right="0.7" top="0.75" bottom="0.75" header="0.3" footer="0.3"/>
</x:worksheet>
</file>