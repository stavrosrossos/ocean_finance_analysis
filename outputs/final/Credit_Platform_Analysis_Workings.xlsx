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2.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stavrosrossos/Desktop/ocean_finance_analysis/outputs/final/"/>
    </mc:Choice>
  </mc:AlternateContent>
  <xr:revisionPtr revIDLastSave="0" documentId="13_ncr:1_{50AEDD4B-BCB1-CF40-B1E3-86CA8CD9DAA4}" xr6:coauthVersionLast="47" xr6:coauthVersionMax="47" xr10:uidLastSave="{00000000-0000-0000-0000-000000000000}"/>
  <bookViews>
    <workbookView xWindow="0" yWindow="660" windowWidth="29400" windowHeight="18460" xr2:uid="{00000000-000D-0000-FFFF-FFFF00000000}"/>
  </bookViews>
  <sheets>
    <sheet name="1. Summary" sheetId="1" r:id="rId1"/>
    <sheet name="2. Panel Baseline" sheetId="2" r:id="rId2"/>
    <sheet name="3. Card Performance" sheetId="3" r:id="rId3"/>
    <sheet name="4. Card 29 context" sheetId="4" r:id="rId4"/>
    <sheet name="5. Scenario Analysis" sheetId="5" r:id="rId5"/>
    <sheet name="6. Sensitivity" sheetId="6" r:id="rId6"/>
    <sheet name="7. Methodology"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6" l="1"/>
  <c r="P3" i="3"/>
  <c r="Q3" i="3"/>
  <c r="Q2" i="3"/>
  <c r="D27" i="1"/>
  <c r="C27" i="1"/>
  <c r="B27" i="1"/>
  <c r="A27" i="1"/>
  <c r="D26" i="1"/>
  <c r="E26" i="1" s="1"/>
  <c r="C26" i="1"/>
  <c r="B26" i="1"/>
  <c r="A26" i="1"/>
  <c r="D25" i="1"/>
  <c r="E27" i="1" s="1"/>
  <c r="C25" i="1"/>
  <c r="B25" i="1"/>
  <c r="A25" i="1"/>
  <c r="G18" i="1"/>
  <c r="F18" i="1"/>
  <c r="E18" i="1"/>
  <c r="D18" i="1"/>
  <c r="C18" i="1"/>
  <c r="B18" i="1"/>
  <c r="A18" i="1"/>
  <c r="G17" i="1"/>
  <c r="F17" i="1"/>
  <c r="E17" i="1"/>
  <c r="D17" i="1"/>
  <c r="C17" i="1"/>
  <c r="B17" i="1"/>
  <c r="A17" i="1"/>
  <c r="G16" i="1"/>
  <c r="F16" i="1"/>
  <c r="E16" i="1"/>
  <c r="D16" i="1"/>
  <c r="C16" i="1"/>
  <c r="B16" i="1"/>
  <c r="A16" i="1"/>
  <c r="G11" i="1"/>
  <c r="E11" i="1"/>
  <c r="C11" i="1"/>
  <c r="A11" i="1"/>
</calcChain>
</file>

<file path=xl/sharedStrings.xml><?xml version="1.0" encoding="utf-8"?>
<sst xmlns="http://schemas.openxmlformats.org/spreadsheetml/2006/main" count="218" uniqueCount="162">
  <si>
    <t>total_applications</t>
  </si>
  <si>
    <t>total_offers</t>
  </si>
  <si>
    <t>applications_with_click</t>
  </si>
  <si>
    <t>total_clicks</t>
  </si>
  <si>
    <t>total_sales</t>
  </si>
  <si>
    <t>total_revenue</t>
  </si>
  <si>
    <t>application_clickout_rate</t>
  </si>
  <si>
    <t>offer_click_through_rate</t>
  </si>
  <si>
    <t>click_to_sale_rate</t>
  </si>
  <si>
    <t>revenue_per_click</t>
  </si>
  <si>
    <t>revenue_per_application</t>
  </si>
  <si>
    <t>sales_per_100_applications</t>
  </si>
  <si>
    <t>card_id</t>
  </si>
  <si>
    <t>offers</t>
  </si>
  <si>
    <t>clicks</t>
  </si>
  <si>
    <t>click_through_rate</t>
  </si>
  <si>
    <t>sales</t>
  </si>
  <si>
    <t>revenue</t>
  </si>
  <si>
    <t>revenue_per_offer</t>
  </si>
  <si>
    <t>revenue_per_sale</t>
  </si>
  <si>
    <t>avg_apr</t>
  </si>
  <si>
    <t>avg_likelihood</t>
  </si>
  <si>
    <t>avg_apr_rank</t>
  </si>
  <si>
    <t>avg_likelihood_rank</t>
  </si>
  <si>
    <t>Card 29</t>
  </si>
  <si>
    <t>Card 30</t>
  </si>
  <si>
    <t>Card 7</t>
  </si>
  <si>
    <t>Card 9</t>
  </si>
  <si>
    <t>Card 23</t>
  </si>
  <si>
    <t>Card 4</t>
  </si>
  <si>
    <t>Card 31</t>
  </si>
  <si>
    <t>Card 24</t>
  </si>
  <si>
    <t>Card 8</t>
  </si>
  <si>
    <t>Card 2</t>
  </si>
  <si>
    <t>Card 25</t>
  </si>
  <si>
    <t>Card 14</t>
  </si>
  <si>
    <t>Card 10</t>
  </si>
  <si>
    <t>Card 15</t>
  </si>
  <si>
    <t>Card 22</t>
  </si>
  <si>
    <t>Card 3</t>
  </si>
  <si>
    <t>Card 18</t>
  </si>
  <si>
    <t>Card 1</t>
  </si>
  <si>
    <t>Card 6</t>
  </si>
  <si>
    <t>Card 11</t>
  </si>
  <si>
    <t>Card 12</t>
  </si>
  <si>
    <t>Card 27</t>
  </si>
  <si>
    <t>Card 16</t>
  </si>
  <si>
    <t>Card 17</t>
  </si>
  <si>
    <t>Card 5</t>
  </si>
  <si>
    <t>Card 20</t>
  </si>
  <si>
    <t>Card 28</t>
  </si>
  <si>
    <t>Card 19</t>
  </si>
  <si>
    <t>Card 26</t>
  </si>
  <si>
    <t>Card 21</t>
  </si>
  <si>
    <t>Card 13</t>
  </si>
  <si>
    <t>Card 34</t>
  </si>
  <si>
    <t>Card 33</t>
  </si>
  <si>
    <t>Card 32</t>
  </si>
  <si>
    <t>competitor_card</t>
  </si>
  <si>
    <t>applications_together</t>
  </si>
  <si>
    <t>card29_clicks</t>
  </si>
  <si>
    <t>competitor_clicks</t>
  </si>
  <si>
    <t>card29_click_rate</t>
  </si>
  <si>
    <t>competitor_click_rate</t>
  </si>
  <si>
    <t>click_rate_multiple</t>
  </si>
  <si>
    <t>same_likelihood_rate</t>
  </si>
  <si>
    <t>card29_higher_likelihood_rate</t>
  </si>
  <si>
    <t>card29_lower_apr_rate</t>
  </si>
  <si>
    <t>scenario</t>
  </si>
  <si>
    <t>clicks_or_expected_clicks</t>
  </si>
  <si>
    <t>sales_or_expected_sales</t>
  </si>
  <si>
    <t>revenue_or_expected_revenue</t>
  </si>
  <si>
    <t>Keep Card 29</t>
  </si>
  <si>
    <t>A - strongest visible alternative</t>
  </si>
  <si>
    <t>B - empirical redistribution</t>
  </si>
  <si>
    <t>modelled_replacements</t>
  </si>
  <si>
    <t>outcome</t>
  </si>
  <si>
    <t>expected_applicants</t>
  </si>
  <si>
    <t>expected_sales</t>
  </si>
  <si>
    <t>expected_revenue</t>
  </si>
  <si>
    <t>Other card</t>
  </si>
  <si>
    <t>No click</t>
  </si>
  <si>
    <t>metric</t>
  </si>
  <si>
    <t>value</t>
  </si>
  <si>
    <t>Remaining-group sales break-even transfer</t>
  </si>
  <si>
    <t>Remaining-group revenue break-even transfer</t>
  </si>
  <si>
    <t>remaining_transfer_rate</t>
  </si>
  <si>
    <t>sales_vs_card29</t>
  </si>
  <si>
    <t>revenue_vs_card29</t>
  </si>
  <si>
    <t>Credit Card Panel Performance Review</t>
  </si>
  <si>
    <t>Assessment of whether any individual card is materially harming marketplace performance</t>
  </si>
  <si>
    <t>Card 29 is the clearest intervention candidate, but the evidence does not justify immediate permanent removal.
It attracts the highest click volume in the panel while monetising materially worse than its main alternatives. Removal could improve performance, but the result depends on how customers redistribute after Card 29 disappears.</t>
  </si>
  <si>
    <t>Key diagnostics</t>
  </si>
  <si>
    <t>Card 29 clicks</t>
  </si>
  <si>
    <t>Card 29 conversion</t>
  </si>
  <si>
    <t>Card 29 revenue / click</t>
  </si>
  <si>
    <t>Panel revenue / click</t>
  </si>
  <si>
    <t>Why Card 29 stands out</t>
  </si>
  <si>
    <t>Card</t>
  </si>
  <si>
    <t>Clicks</t>
  </si>
  <si>
    <t>Click rate</t>
  </si>
  <si>
    <t>Conversion</t>
  </si>
  <si>
    <t>Revenue / click</t>
  </si>
  <si>
    <t>APR</t>
  </si>
  <si>
    <t>Revenue / sale</t>
  </si>
  <si>
    <t>When co-offered, Card 29 receives 2.38× Card 30's click rate and 4.81× Card 31's click rate, despite materially weaker downstream conversion. All three cards generate £44 per completed sale.</t>
  </si>
  <si>
    <t>Does removing Card 29 improve the panel?</t>
  </si>
  <si>
    <t>Scenario</t>
  </si>
  <si>
    <t>Expected clicks</t>
  </si>
  <si>
    <t>Expected sales</t>
  </si>
  <si>
    <t>Expected revenue</t>
  </si>
  <si>
    <t>Revenue vs keep</t>
  </si>
  <si>
    <t>Key uncertainty</t>
  </si>
  <si>
    <t>—</t>
  </si>
  <si>
    <t>Under the empirically anchored scenario, the remaining eligible group requires an 80.8% transfer rate for revenue to break even. This behaviour cannot be observed directly in the supplied data.</t>
  </si>
  <si>
    <t>Recommended action: controlled test of Card 29 removal or deprioritisation
Primary KPI: revenue per application.
Secondary metrics: sales per application, application clickout rate, click-to-sale conversion and click redistribution toward Cards 30/31.
Permanent removal should follow only if treatment produces a commercially meaningful improvement without materially reducing clickout.</t>
  </si>
  <si>
    <t>All figures are linked to the underlying working sheets; scenario outputs are modelled, not observed causal outcomes.</t>
  </si>
  <si>
    <t>Scenario A — strongest visible alternative</t>
  </si>
  <si>
    <t>Scenario B — empirical redistribution</t>
  </si>
  <si>
    <t>Scenario B sensitivity to remaining-group transfer</t>
  </si>
  <si>
    <t>Analysis Approach &amp; Assumptions</t>
  </si>
  <si>
    <t>Supporting methodology for assessing whether any individual card is harming overall panel performance</t>
  </si>
  <si>
    <t>1. Business question</t>
  </si>
  <si>
    <t>Would overall credit card marketplace performance be better if a particular card were removed from the panel?
Cards were assessed on both customer engagement and downstream commercial performance. A card was considered potentially harmful where it attracts meaningful traffic but monetises that traffic materially worse than realistic alternatives.</t>
  </si>
  <si>
    <t>2. Data and unit of analysis</t>
  </si>
  <si>
    <t>Quote data: applicant-card level offers, including click behaviour, APR, likelihood and panel rankings.
Sales data: card-level post-click sales and revenue for the same applicants and time period.
Analysis levels: panel baseline, card-level performance and same-application competitive context.</t>
  </si>
  <si>
    <t>Key limitation
Post-click sales are available only in aggregate by card rather than at applicant level. Therefore, customer behaviour and downstream conversion after the hypothetical removal of a card cannot be observed directly.</t>
  </si>
  <si>
    <t>3. Analytical approach</t>
  </si>
  <si>
    <t>Step</t>
  </si>
  <si>
    <t>Purpose</t>
  </si>
  <si>
    <t>1. Validate baseline</t>
  </si>
  <si>
    <t>Check record structure, uniqueness, missingness, card coverage and ranking definitions; establish panel clickout, conversion and revenue metrics.</t>
  </si>
  <si>
    <t>2. Screen cards</t>
  </si>
  <si>
    <t>Compare offer volume, clicks, click-through rate, click-to-sale conversion, revenue, revenue per click and revenue per offer across all 34 cards.</t>
  </si>
  <si>
    <t>3. Investigate context</t>
  </si>
  <si>
    <t>For the strongest candidate, compare performance against cards shown within the same applications to assess whether it may divert clicks from stronger alternatives.</t>
  </si>
  <si>
    <t>4. Test robustness</t>
  </si>
  <si>
    <t>Examine downstream conversion uncertainty and same-application behaviour rather than relying on raw conversion rates alone.</t>
  </si>
  <si>
    <t>5. Model removal</t>
  </si>
  <si>
    <t>Estimate panel performance without the candidate card under multiple redistribution assumptions because the true counterfactual is unobserved.</t>
  </si>
  <si>
    <t>4. Counterfactual scenarios</t>
  </si>
  <si>
    <t>Assumption</t>
  </si>
  <si>
    <t>Role</t>
  </si>
  <si>
    <t>A — strongest visible alternative</t>
  </si>
  <si>
    <t>Card 29 clickers with another offer transfer to the strongest remaining offer, prioritising likelihood rank, then APR.</t>
  </si>
  <si>
    <t>Structured / optimistic replacement case</t>
  </si>
  <si>
    <t>B — empirically anchored redistribution</t>
  </si>
  <si>
    <t>For the major Card 30 + Card 31 choice set, redistribution uses observed behaviour from comparable applications where Card 29 was absent; other eligible users retain the Scenario A replacement rule.</t>
  </si>
  <si>
    <t>More conservative behavioural estimate</t>
  </si>
  <si>
    <t>Sensitivity</t>
  </si>
  <si>
    <t>Vary the transfer rate among the remaining eligible users from 0% to 100%.</t>
  </si>
  <si>
    <t>Tests dependence on unobserved behaviour</t>
  </si>
  <si>
    <t>Scenario outputs are modelled counterfactuals rather than causal estimates. Differences between scenarios reflect uncertainty around how customers would redistribute if Card 29 were removed.</t>
  </si>
  <si>
    <t>5. Decision framework</t>
  </si>
  <si>
    <t>Card 29 was identified as the strongest intervention candidate because it combines very high click volume with materially weak downstream monetisation.
However, estimated panel improvement changes materially under different redistribution assumptions. The observational evidence therefore supports testing Card 29 rather than recommending immediate permanent removal.</t>
  </si>
  <si>
    <t>Recommended validation
Run a controlled removal or deprioritisation experiment for Card 29. Use revenue per application as the primary outcome, with sales per application, application clickout, click-to-sale conversion and click redistribution as secondary diagnostics.</t>
  </si>
  <si>
    <t>Methodology reflects the supplied observational data; permanent removal should be supported by experimental evidence.</t>
  </si>
  <si>
    <t>benchmark_clicks</t>
  </si>
  <si>
    <t xml:space="preserve">transfer </t>
  </si>
  <si>
    <t>zero</t>
  </si>
  <si>
    <t>break_even_transfer</t>
  </si>
  <si>
    <t>revenue_change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</si>
</sst>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5" formatCode="0.0%"/>
    <numFmt numFmtId="167" formatCode="0.0"/>
    <numFmt numFmtId="168" formatCode="0.00&quot;x&quot;"/>
    <numFmt numFmtId="170" formatCode="&quot;£&quot;#,##0.00"/>
    <numFmt numFmtId="171" formatCode="&quot;£&quot;#,##0.00;[Red]\-&quot;£&quot;#,##0.00"/>
    <numFmt numFmtId="172" formatCode="&quot;£&quot;0.00"/>
    <numFmt numFmtId="173" formatCode="\+&quot;£&quot;#,##0;[Red]\-&quot;£&quot;#,##0"/>
  </numFmts>
  <fonts count="26" x14ac:knownFonts="1">
    <font>
      <sz val="12"/>
      <color theme="1"/>
      <name val="Aptos Narrow"/>
    </font>
    <font>
      <b/>
      <sz val="10"/>
      <color rgb="FF1F2937"/>
      <name val="Helvetica Neue"/>
      <family val="2"/>
    </font>
    <font>
      <sz val="10"/>
      <color rgb="FF1F2937"/>
      <name val="Helvetica Neue"/>
      <family val="2"/>
    </font>
    <font>
      <b/>
      <sz val="10"/>
      <color rgb="FFFFFFFF"/>
      <name val="Helvetica Neue"/>
      <family val="2"/>
    </font>
    <font>
      <sz val="10"/>
      <color rgb="FF1F2937"/>
      <name val="Helvetica"/>
      <family val="2"/>
    </font>
    <font>
      <b/>
      <sz val="10"/>
      <color rgb="FF7A4E00"/>
      <name val="Helvetica Neue"/>
      <family val="2"/>
    </font>
    <font>
      <b/>
      <sz val="10"/>
      <color rgb="FF163A4A"/>
      <name val="Helvetica Neue"/>
      <family val="2"/>
    </font>
    <font>
      <sz val="10"/>
      <color rgb="FF1F2937"/>
      <name val="Aptos Narrow"/>
    </font>
    <font>
      <b/>
      <sz val="10"/>
      <color rgb="FF163A4A"/>
      <name val="Aptos Narrow"/>
    </font>
    <font>
      <b/>
      <sz val="21"/>
      <color rgb="FFFFFFFF"/>
      <name val="Aptos Narrow"/>
    </font>
    <font>
      <i/>
      <sz val="10"/>
      <color rgb="FF5F6B76"/>
      <name val="Aptos Narrow"/>
    </font>
    <font>
      <b/>
      <sz val="11"/>
      <color rgb="FF6B4E00"/>
      <name val="Aptos Narrow"/>
    </font>
    <font>
      <b/>
      <sz val="11"/>
      <color rgb="FFFFFFFF"/>
      <name val="Aptos Narrow"/>
    </font>
    <font>
      <b/>
      <sz val="9"/>
      <color rgb="FF0F5D75"/>
      <name val="Aptos Narrow"/>
    </font>
    <font>
      <b/>
      <sz val="18"/>
      <color rgb="FF1F2937"/>
      <name val="Aptos Narrow"/>
    </font>
    <font>
      <b/>
      <sz val="9"/>
      <color rgb="FFFFFFFF"/>
      <name val="Aptos Narrow"/>
    </font>
    <font>
      <b/>
      <sz val="9"/>
      <color rgb="FF6B4E00"/>
      <name val="Aptos Narrow"/>
    </font>
    <font>
      <sz val="9"/>
      <color rgb="FF1F2937"/>
      <name val="Aptos Narrow"/>
    </font>
    <font>
      <sz val="9"/>
      <color rgb="FF6B4E00"/>
      <name val="Aptos Narrow"/>
    </font>
    <font>
      <sz val="10"/>
      <color rgb="FF176B3A"/>
      <name val="Aptos Narrow"/>
    </font>
    <font>
      <i/>
      <sz val="8"/>
      <color rgb="FF5F6B76"/>
      <name val="Aptos Narrow"/>
    </font>
    <font>
      <b/>
      <sz val="11"/>
      <color rgb="FF163A4A"/>
      <name val="Aptos Narrow"/>
    </font>
    <font>
      <b/>
      <sz val="10"/>
      <color rgb="FF6B4E00"/>
      <name val="Aptos Narrow"/>
    </font>
    <font>
      <b/>
      <sz val="9"/>
      <color rgb="FF163A4A"/>
      <name val="Aptos Narrow"/>
    </font>
    <font>
      <i/>
      <sz val="9"/>
      <color rgb="FF5F6B76"/>
      <name val="Aptos Narrow"/>
    </font>
    <font>
      <b/>
      <sz val="10"/>
      <color rgb="FF176B3A"/>
      <name val="Aptos Narrow"/>
    </font>
  </fonts>
  <fills count="22">
    <fill>
      <patternFill patternType="none"/>
    </fill>
    <fill>
      <patternFill patternType="gray125"/>
    </fill>
    <fill>
      <patternFill patternType="solid">
        <fgColor rgb="FF0F5D75"/>
      </patternFill>
    </fill>
    <fill>
      <patternFill patternType="solid">
        <fgColor rgb="FFFFF2CC"/>
      </patternFill>
    </fill>
    <fill>
      <patternFill patternType="solid">
        <fgColor rgb="FFEAF4F8"/>
      </patternFill>
    </fill>
    <fill>
      <patternFill patternType="solid">
        <fgColor rgb="FFD9EAF2"/>
      </patternFill>
    </fill>
    <fill>
      <patternFill patternType="solid">
        <fgColor rgb="FFF3F4F6"/>
      </patternFill>
    </fill>
    <fill>
      <patternFill patternType="solid">
        <fgColor rgb="FFE8F5E9"/>
      </patternFill>
    </fill>
    <fill>
      <patternFill patternType="solid">
        <fgColor rgb="FF0F5D75"/>
      </patternFill>
    </fill>
    <fill>
      <patternFill patternType="solid">
        <fgColor rgb="FFFFF2CC"/>
      </patternFill>
    </fill>
    <fill>
      <patternFill patternType="solid">
        <fgColor rgb="FFEAF4F8"/>
      </patternFill>
    </fill>
    <fill>
      <patternFill patternType="solid">
        <fgColor rgb="FF2F7E96"/>
      </patternFill>
    </fill>
    <fill>
      <patternFill patternType="solid">
        <fgColor rgb="FFF3F4F6"/>
      </patternFill>
    </fill>
    <fill>
      <patternFill patternType="solid">
        <fgColor rgb="FFE8F5E9"/>
      </patternFill>
    </fill>
    <fill>
      <patternFill patternType="solid">
        <fgColor rgb="FFFFF9E6"/>
      </patternFill>
    </fill>
    <fill>
      <patternFill patternType="solid">
        <fgColor rgb="FF0F5D75"/>
      </patternFill>
    </fill>
    <fill>
      <patternFill patternType="solid">
        <fgColor rgb="FFD9EAF2"/>
      </patternFill>
    </fill>
    <fill>
      <patternFill patternType="solid">
        <fgColor rgb="FFFFF2CC"/>
      </patternFill>
    </fill>
    <fill>
      <patternFill patternType="solid">
        <fgColor rgb="FFFFFFFF"/>
      </patternFill>
    </fill>
    <fill>
      <patternFill patternType="solid">
        <fgColor rgb="FFF8FAFB"/>
      </patternFill>
    </fill>
    <fill>
      <patternFill patternType="solid">
        <fgColor rgb="FFE8F5E9"/>
      </patternFill>
    </fill>
    <fill>
      <patternFill patternType="solid">
        <fgColor rgb="FFF3F4F6"/>
      </patternFill>
    </fill>
  </fills>
  <borders count="1">
    <border>
      <left/>
      <right/>
      <top/>
      <bottom/>
      <diagonal/>
    </border>
  </borders>
  <cellStyleXfs count="1">
    <xf numFmtId="0" fontId="0" fillId="0" borderId="0"/>
  </cellStyleXfs>
  <cellXfs count="87">
    <xf numFmtId="0" fontId="0" fillId="0" borderId="0" xfId="0"/>
    <xf numFmtId="0" fontId="1" fillId="0" borderId="0" xfId="0" applyFont="1"/>
    <xf numFmtId="0" fontId="3" fillId="2" borderId="0" xfId="0" applyFont="1" applyFill="1" applyAlignment="1">
      <alignment vertical="center" wrapText="1"/>
    </xf>
    <xf numFmtId="3" fontId="1" fillId="0" borderId="0" xfId="0" applyNumberFormat="1" applyFont="1"/>
    <xf numFmtId="3" fontId="2" fillId="0" borderId="0" xfId="0" applyNumberFormat="1" applyFont="1"/>
    <xf numFmtId="165" fontId="2" fillId="0" borderId="0" xfId="0" applyNumberFormat="1" applyFont="1"/>
    <xf numFmtId="167" fontId="2" fillId="0" borderId="0" xfId="0" applyNumberFormat="1" applyFont="1"/>
    <xf numFmtId="165" fontId="4" fillId="0" borderId="0" xfId="0" applyNumberFormat="1" applyFont="1"/>
    <xf numFmtId="2" fontId="2" fillId="0" borderId="0" xfId="0" applyNumberFormat="1" applyFont="1"/>
    <xf numFmtId="0" fontId="5" fillId="3" borderId="0" xfId="0" applyFont="1" applyFill="1"/>
    <xf numFmtId="3" fontId="5" fillId="3" borderId="0" xfId="0" applyNumberFormat="1" applyFont="1" applyFill="1"/>
    <xf numFmtId="165" fontId="5" fillId="3" borderId="0" xfId="0" applyNumberFormat="1" applyFont="1" applyFill="1"/>
    <xf numFmtId="167" fontId="5" fillId="3" borderId="0" xfId="0" applyNumberFormat="1" applyFont="1" applyFill="1"/>
    <xf numFmtId="2" fontId="5" fillId="3" borderId="0" xfId="0" applyNumberFormat="1" applyFont="1" applyFill="1"/>
    <xf numFmtId="0" fontId="1" fillId="4" borderId="0" xfId="0" applyFont="1" applyFill="1"/>
    <xf numFmtId="3" fontId="2" fillId="4" borderId="0" xfId="0" applyNumberFormat="1" applyFont="1" applyFill="1"/>
    <xf numFmtId="165" fontId="2" fillId="4" borderId="0" xfId="0" applyNumberFormat="1" applyFont="1" applyFill="1"/>
    <xf numFmtId="167" fontId="2" fillId="4" borderId="0" xfId="0" applyNumberFormat="1" applyFont="1" applyFill="1"/>
    <xf numFmtId="2" fontId="2" fillId="4" borderId="0" xfId="0" applyNumberFormat="1" applyFont="1" applyFill="1"/>
    <xf numFmtId="168" fontId="2" fillId="0" borderId="0" xfId="0" applyNumberFormat="1" applyFont="1"/>
    <xf numFmtId="168" fontId="4" fillId="0" borderId="0" xfId="0" applyNumberFormat="1" applyFont="1"/>
    <xf numFmtId="0" fontId="6" fillId="4" borderId="0" xfId="0" applyFont="1" applyFill="1"/>
    <xf numFmtId="3" fontId="6" fillId="4" borderId="0" xfId="0" applyNumberFormat="1" applyFont="1" applyFill="1"/>
    <xf numFmtId="165" fontId="6" fillId="4" borderId="0" xfId="0" applyNumberFormat="1" applyFont="1" applyFill="1"/>
    <xf numFmtId="168" fontId="6" fillId="4" borderId="0" xfId="0" applyNumberFormat="1" applyFont="1" applyFill="1"/>
    <xf numFmtId="0" fontId="7" fillId="0" borderId="0" xfId="0" applyFont="1"/>
    <xf numFmtId="0" fontId="1" fillId="6" borderId="0" xfId="0" applyFont="1" applyFill="1"/>
    <xf numFmtId="167" fontId="2" fillId="6" borderId="0" xfId="0" applyNumberFormat="1" applyFont="1" applyFill="1"/>
    <xf numFmtId="0" fontId="1" fillId="7" borderId="0" xfId="0" applyFont="1" applyFill="1"/>
    <xf numFmtId="167" fontId="2" fillId="7" borderId="0" xfId="0" applyNumberFormat="1" applyFont="1" applyFill="1"/>
    <xf numFmtId="9" fontId="1" fillId="0" borderId="0" xfId="0" applyNumberFormat="1" applyFont="1"/>
    <xf numFmtId="170" fontId="5" fillId="3" borderId="0" xfId="0" applyNumberFormat="1" applyFont="1" applyFill="1"/>
    <xf numFmtId="170" fontId="2" fillId="4" borderId="0" xfId="0" applyNumberFormat="1" applyFont="1" applyFill="1"/>
    <xf numFmtId="170" fontId="2" fillId="0" borderId="0" xfId="0" applyNumberFormat="1" applyFont="1"/>
    <xf numFmtId="170" fontId="4" fillId="0" borderId="0" xfId="0" applyNumberFormat="1" applyFont="1"/>
    <xf numFmtId="170" fontId="2" fillId="6" borderId="0" xfId="0" applyNumberFormat="1" applyFont="1" applyFill="1"/>
    <xf numFmtId="170" fontId="2" fillId="7" borderId="0" xfId="0" applyNumberFormat="1" applyFont="1" applyFill="1"/>
    <xf numFmtId="171" fontId="2" fillId="0" borderId="0" xfId="0" applyNumberFormat="1" applyFont="1"/>
    <xf numFmtId="0" fontId="15" fillId="11" borderId="0" xfId="0" applyFont="1" applyFill="1" applyAlignment="1">
      <alignment horizontal="center" wrapText="1"/>
    </xf>
    <xf numFmtId="3" fontId="0" fillId="0" borderId="0" xfId="0" applyNumberFormat="1"/>
    <xf numFmtId="165" fontId="0" fillId="0" borderId="0" xfId="0" applyNumberFormat="1"/>
    <xf numFmtId="0" fontId="0" fillId="0" borderId="0" xfId="0" applyAlignment="1">
      <alignment horizontal="center"/>
    </xf>
    <xf numFmtId="3" fontId="0" fillId="0" borderId="0" xfId="0" applyNumberFormat="1" applyAlignment="1">
      <alignment horizontal="center"/>
    </xf>
    <xf numFmtId="165" fontId="0" fillId="0" borderId="0" xfId="0" applyNumberFormat="1" applyAlignment="1">
      <alignment horizontal="center"/>
    </xf>
    <xf numFmtId="172" fontId="0" fillId="0" borderId="0" xfId="0" applyNumberFormat="1" applyAlignment="1">
      <alignment horizontal="center"/>
    </xf>
    <xf numFmtId="167" fontId="0" fillId="0" borderId="0" xfId="0" applyNumberFormat="1" applyAlignment="1">
      <alignment horizontal="center"/>
    </xf>
    <xf numFmtId="0" fontId="16" fillId="9" borderId="0" xfId="0" applyFont="1" applyFill="1" applyAlignment="1">
      <alignment horizontal="center"/>
    </xf>
    <xf numFmtId="3" fontId="16" fillId="9" borderId="0" xfId="0" applyNumberFormat="1" applyFont="1" applyFill="1" applyAlignment="1">
      <alignment horizontal="center"/>
    </xf>
    <xf numFmtId="165" fontId="16" fillId="9" borderId="0" xfId="0" applyNumberFormat="1" applyFont="1" applyFill="1" applyAlignment="1">
      <alignment horizontal="center"/>
    </xf>
    <xf numFmtId="172" fontId="16" fillId="9" borderId="0" xfId="0" applyNumberFormat="1" applyFont="1" applyFill="1" applyAlignment="1">
      <alignment horizontal="center"/>
    </xf>
    <xf numFmtId="167" fontId="16" fillId="9" borderId="0" xfId="0" applyNumberFormat="1" applyFont="1" applyFill="1" applyAlignment="1">
      <alignment horizontal="center"/>
    </xf>
    <xf numFmtId="170" fontId="0" fillId="0" borderId="0" xfId="0" applyNumberFormat="1" applyAlignment="1">
      <alignment horizontal="center"/>
    </xf>
    <xf numFmtId="173" fontId="0" fillId="0" borderId="0" xfId="0" applyNumberFormat="1" applyAlignment="1">
      <alignment horizontal="center"/>
    </xf>
    <xf numFmtId="0" fontId="0" fillId="12" borderId="0" xfId="0" applyFill="1" applyAlignment="1">
      <alignment horizontal="center"/>
    </xf>
    <xf numFmtId="167" fontId="0" fillId="12" borderId="0" xfId="0" applyNumberFormat="1" applyFill="1" applyAlignment="1">
      <alignment horizontal="center"/>
    </xf>
    <xf numFmtId="170" fontId="0" fillId="12" borderId="0" xfId="0" applyNumberFormat="1" applyFill="1" applyAlignment="1">
      <alignment horizontal="center"/>
    </xf>
    <xf numFmtId="0" fontId="0" fillId="13" borderId="0" xfId="0" applyFill="1" applyAlignment="1">
      <alignment horizontal="center"/>
    </xf>
    <xf numFmtId="167" fontId="0" fillId="13" borderId="0" xfId="0" applyNumberFormat="1" applyFill="1" applyAlignment="1">
      <alignment horizontal="center"/>
    </xf>
    <xf numFmtId="170" fontId="0" fillId="13" borderId="0" xfId="0" applyNumberFormat="1" applyFill="1" applyAlignment="1">
      <alignment horizontal="center"/>
    </xf>
    <xf numFmtId="173" fontId="0" fillId="13" borderId="0" xfId="0" applyNumberFormat="1" applyFill="1" applyAlignment="1">
      <alignment horizontal="center"/>
    </xf>
    <xf numFmtId="0" fontId="9" fillId="8" borderId="0" xfId="0" applyFont="1" applyFill="1" applyAlignment="1">
      <alignment vertical="center"/>
    </xf>
    <xf numFmtId="0" fontId="10" fillId="0" borderId="0" xfId="0" applyFont="1" applyAlignment="1">
      <alignment vertical="center"/>
    </xf>
    <xf numFmtId="0" fontId="11" fillId="9" borderId="0" xfId="0" applyFont="1" applyFill="1" applyAlignment="1">
      <alignment vertical="center" wrapText="1"/>
    </xf>
    <xf numFmtId="0" fontId="12" fillId="8" borderId="0" xfId="0" applyFont="1" applyFill="1"/>
    <xf numFmtId="0" fontId="13" fillId="10" borderId="0" xfId="0" applyFont="1" applyFill="1" applyAlignment="1">
      <alignment horizontal="center" vertical="center" wrapText="1"/>
    </xf>
    <xf numFmtId="3" fontId="14" fillId="0" borderId="0" xfId="0" applyNumberFormat="1" applyFont="1" applyAlignment="1">
      <alignment horizontal="center" vertical="center"/>
    </xf>
    <xf numFmtId="165" fontId="14" fillId="0" borderId="0" xfId="0" applyNumberFormat="1" applyFont="1" applyAlignment="1">
      <alignment horizontal="center" vertical="center"/>
    </xf>
    <xf numFmtId="172" fontId="14" fillId="0" borderId="0" xfId="0" applyNumberFormat="1" applyFont="1" applyAlignment="1">
      <alignment horizontal="center" vertical="center"/>
    </xf>
    <xf numFmtId="0" fontId="17" fillId="12" borderId="0" xfId="0" applyFont="1" applyFill="1" applyAlignment="1">
      <alignment vertical="center" wrapText="1"/>
    </xf>
    <xf numFmtId="0" fontId="16" fillId="9" borderId="0" xfId="0" applyFont="1" applyFill="1" applyAlignment="1">
      <alignment horizontal="center"/>
    </xf>
    <xf numFmtId="0" fontId="18" fillId="14" borderId="0" xfId="0" applyFont="1" applyFill="1" applyAlignment="1">
      <alignment vertical="center" wrapText="1"/>
    </xf>
    <xf numFmtId="0" fontId="19" fillId="13" borderId="0" xfId="0" applyFont="1" applyFill="1" applyAlignment="1">
      <alignment vertical="center" wrapText="1"/>
    </xf>
    <xf numFmtId="0" fontId="20" fillId="0" borderId="0" xfId="0" applyFont="1"/>
    <xf numFmtId="0" fontId="8" fillId="5" borderId="0" xfId="0" applyFont="1" applyFill="1" applyAlignment="1">
      <alignment vertical="center"/>
    </xf>
    <xf numFmtId="0" fontId="9" fillId="15" borderId="0" xfId="0" applyFont="1" applyFill="1" applyAlignment="1">
      <alignment vertical="center"/>
    </xf>
    <xf numFmtId="0" fontId="21" fillId="16" borderId="0" xfId="0" applyFont="1" applyFill="1" applyAlignment="1">
      <alignment vertical="center"/>
    </xf>
    <xf numFmtId="0" fontId="7" fillId="0" borderId="0" xfId="0" applyFont="1" applyAlignment="1">
      <alignment vertical="center" wrapText="1"/>
    </xf>
    <xf numFmtId="0" fontId="22" fillId="17" borderId="0" xfId="0" applyFont="1" applyFill="1" applyAlignment="1">
      <alignment vertical="center" wrapText="1"/>
    </xf>
    <xf numFmtId="0" fontId="15" fillId="15" borderId="0" xfId="0" applyFont="1" applyFill="1" applyAlignment="1">
      <alignment horizontal="center" vertical="center" wrapText="1"/>
    </xf>
    <xf numFmtId="0" fontId="23" fillId="18" borderId="0" xfId="0" applyFont="1" applyFill="1" applyAlignment="1">
      <alignment vertical="center" wrapText="1"/>
    </xf>
    <xf numFmtId="0" fontId="17" fillId="18" borderId="0" xfId="0" applyFont="1" applyFill="1" applyAlignment="1">
      <alignment vertical="center" wrapText="1"/>
    </xf>
    <xf numFmtId="0" fontId="23" fillId="19" borderId="0" xfId="0" applyFont="1" applyFill="1" applyAlignment="1">
      <alignment vertical="center" wrapText="1"/>
    </xf>
    <xf numFmtId="0" fontId="17" fillId="19" borderId="0" xfId="0" applyFont="1" applyFill="1" applyAlignment="1">
      <alignment vertical="center" wrapText="1"/>
    </xf>
    <xf numFmtId="0" fontId="23" fillId="20" borderId="0" xfId="0" applyFont="1" applyFill="1" applyAlignment="1">
      <alignment vertical="center" wrapText="1"/>
    </xf>
    <xf numFmtId="0" fontId="17" fillId="20" borderId="0" xfId="0" applyFont="1" applyFill="1" applyAlignment="1">
      <alignment vertical="center" wrapText="1"/>
    </xf>
    <xf numFmtId="0" fontId="24" fillId="21" borderId="0" xfId="0" applyFont="1" applyFill="1" applyAlignment="1">
      <alignment vertical="center" wrapText="1"/>
    </xf>
    <xf numFmtId="0" fontId="25" fillId="20" borderId="0" xfId="0" applyFont="1" applyFill="1" applyAlignment="1">
      <alignment vertical="center" wrapText="1"/>
    </xf>
  </cellXfs>
  <cellStyles count="1">
    <cellStyle name="Normal" xfId="0" builtinId="0"/>
  </cellStyles>
  <dxfs count="63">
    <dxf>
      <font>
        <color rgb="FF176B3A"/>
      </font>
      <fill>
        <patternFill>
          <bgColor rgb="FFEAF7EE"/>
        </patternFill>
      </fill>
    </dxf>
    <dxf>
      <font>
        <color rgb="FFB42318"/>
      </font>
      <fill>
        <patternFill>
          <bgColor rgb="FFFDECEC"/>
        </patternFill>
      </fill>
    </dxf>
    <dxf>
      <font>
        <color rgb="FF176B3A"/>
      </font>
      <fill>
        <patternFill>
          <bgColor rgb="FFEAF7EE"/>
        </patternFill>
      </fill>
    </dxf>
    <dxf>
      <font>
        <color rgb="FFB42318"/>
      </font>
      <fill>
        <patternFill>
          <bgColor rgb="FFFDECEC"/>
        </patternFill>
      </fill>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b/>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b/>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b/>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b/>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b/>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2"/>
        <color theme="1"/>
        <name val="Helvetica"/>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b/>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2"/>
        <color theme="1"/>
        <name val="Helvetica"/>
        <family val="2"/>
        <scheme val="none"/>
      </font>
    </dxf>
    <dxf>
      <font>
        <u val="none"/>
        <sz val="10"/>
        <color rgb="FF000000"/>
        <name val="Helvetica Neue"/>
        <family val="2"/>
        <scheme val="none"/>
      </font>
    </dxf>
    <dxf>
      <font>
        <u val="none"/>
        <sz val="12"/>
        <color theme="1"/>
        <name val="Helvetica"/>
        <family val="2"/>
        <scheme val="none"/>
      </font>
    </dxf>
    <dxf>
      <font>
        <u val="none"/>
        <sz val="10"/>
        <color rgb="FF000000"/>
        <name val="Helvetica Neue"/>
        <family val="2"/>
        <scheme val="none"/>
      </font>
    </dxf>
    <dxf>
      <font>
        <u val="none"/>
        <sz val="12"/>
        <color theme="1"/>
        <name val="Helvetica"/>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b/>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u val="none"/>
        <sz val="10"/>
        <color rgb="FF000000"/>
        <name val="Helvetica Neue"/>
        <family val="2"/>
        <scheme val="none"/>
      </font>
    </dxf>
    <dxf>
      <font>
        <b/>
        <u val="none"/>
        <sz val="10"/>
        <color rgb="FF000000"/>
        <name val="Helvetica Neue"/>
        <family val="2"/>
        <scheme val="none"/>
      </font>
    </dxf>
    <dxf>
      <font>
        <u val="none"/>
        <sz val="10"/>
        <color rgb="FF000000"/>
        <name val="Helvetica Neue"/>
        <family val="2"/>
        <scheme val="none"/>
      </font>
    </dxf>
  </dxfs>
  <tableStyles count="0" defaultTableStyle="TableStyleMedium2" defaultPivotStyle="PivotStyleLight16"/>
  <colors>
    <mruColors>
      <color rgb="FFE3A008"/>
      <color rgb="FF7A8691"/>
      <color rgb="FF0F5D75"/>
      <color rgb="FF2F7E96"/>
      <color rgb="FFE7B5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Card level traffic vs monetisation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tx>
            <c:v>All cards</c:v>
          </c:tx>
          <c:spPr>
            <a:ln w="38100" cap="rnd">
              <a:noFill/>
              <a:round/>
            </a:ln>
            <a:effectLst/>
          </c:spPr>
          <c:marker>
            <c:symbol val="circle"/>
            <c:size val="5"/>
            <c:spPr>
              <a:solidFill>
                <a:schemeClr val="bg2">
                  <a:lumMod val="90000"/>
                </a:schemeClr>
              </a:solidFill>
              <a:ln w="9525">
                <a:noFill/>
              </a:ln>
              <a:effectLst/>
            </c:spPr>
          </c:marker>
          <c:xVal>
            <c:numRef>
              <c:f>'3. Card Performance'!$C$2:$C$35</c:f>
              <c:numCache>
                <c:formatCode>#,##0</c:formatCode>
                <c:ptCount val="34"/>
                <c:pt idx="0">
                  <c:v>398</c:v>
                </c:pt>
                <c:pt idx="1">
                  <c:v>281</c:v>
                </c:pt>
                <c:pt idx="2">
                  <c:v>185</c:v>
                </c:pt>
                <c:pt idx="3">
                  <c:v>122</c:v>
                </c:pt>
                <c:pt idx="4">
                  <c:v>92</c:v>
                </c:pt>
                <c:pt idx="5">
                  <c:v>84</c:v>
                </c:pt>
                <c:pt idx="6">
                  <c:v>80</c:v>
                </c:pt>
                <c:pt idx="7">
                  <c:v>76</c:v>
                </c:pt>
                <c:pt idx="8">
                  <c:v>75</c:v>
                </c:pt>
                <c:pt idx="9">
                  <c:v>65</c:v>
                </c:pt>
                <c:pt idx="10">
                  <c:v>63</c:v>
                </c:pt>
                <c:pt idx="11">
                  <c:v>62</c:v>
                </c:pt>
                <c:pt idx="12">
                  <c:v>61</c:v>
                </c:pt>
                <c:pt idx="13">
                  <c:v>49</c:v>
                </c:pt>
                <c:pt idx="14">
                  <c:v>29</c:v>
                </c:pt>
                <c:pt idx="15">
                  <c:v>24</c:v>
                </c:pt>
                <c:pt idx="16">
                  <c:v>19</c:v>
                </c:pt>
                <c:pt idx="17">
                  <c:v>17</c:v>
                </c:pt>
                <c:pt idx="18">
                  <c:v>14</c:v>
                </c:pt>
                <c:pt idx="19">
                  <c:v>13</c:v>
                </c:pt>
                <c:pt idx="20">
                  <c:v>9</c:v>
                </c:pt>
                <c:pt idx="21">
                  <c:v>8</c:v>
                </c:pt>
                <c:pt idx="22">
                  <c:v>7</c:v>
                </c:pt>
                <c:pt idx="23">
                  <c:v>6</c:v>
                </c:pt>
                <c:pt idx="24">
                  <c:v>5</c:v>
                </c:pt>
                <c:pt idx="25">
                  <c:v>5</c:v>
                </c:pt>
                <c:pt idx="26">
                  <c:v>5</c:v>
                </c:pt>
                <c:pt idx="27">
                  <c:v>3</c:v>
                </c:pt>
                <c:pt idx="28">
                  <c:v>2</c:v>
                </c:pt>
                <c:pt idx="29">
                  <c:v>2</c:v>
                </c:pt>
                <c:pt idx="30">
                  <c:v>2</c:v>
                </c:pt>
                <c:pt idx="31">
                  <c:v>0</c:v>
                </c:pt>
                <c:pt idx="32">
                  <c:v>0</c:v>
                </c:pt>
                <c:pt idx="33">
                  <c:v>0</c:v>
                </c:pt>
              </c:numCache>
            </c:numRef>
          </c:xVal>
          <c:yVal>
            <c:numRef>
              <c:f>'3. Card Performance'!$H$2:$H$35</c:f>
              <c:numCache>
                <c:formatCode>"£"#,##0.00</c:formatCode>
                <c:ptCount val="34"/>
                <c:pt idx="0">
                  <c:v>6.9648241206030201</c:v>
                </c:pt>
                <c:pt idx="1">
                  <c:v>13.9359430604982</c:v>
                </c:pt>
                <c:pt idx="2">
                  <c:v>11.945945945945899</c:v>
                </c:pt>
                <c:pt idx="3">
                  <c:v>11.983606557377099</c:v>
                </c:pt>
                <c:pt idx="4">
                  <c:v>11.413043478260899</c:v>
                </c:pt>
                <c:pt idx="5">
                  <c:v>12.1428571428571</c:v>
                </c:pt>
                <c:pt idx="6">
                  <c:v>11.55</c:v>
                </c:pt>
                <c:pt idx="7">
                  <c:v>11.5131578947368</c:v>
                </c:pt>
                <c:pt idx="8">
                  <c:v>19.8</c:v>
                </c:pt>
                <c:pt idx="9">
                  <c:v>16.692307692307701</c:v>
                </c:pt>
                <c:pt idx="10">
                  <c:v>11.6666666666667</c:v>
                </c:pt>
                <c:pt idx="11">
                  <c:v>8.4677419354838701</c:v>
                </c:pt>
                <c:pt idx="12">
                  <c:v>16.229508196721302</c:v>
                </c:pt>
                <c:pt idx="13">
                  <c:v>13.1428571428571</c:v>
                </c:pt>
                <c:pt idx="14">
                  <c:v>12.8965517241379</c:v>
                </c:pt>
                <c:pt idx="15">
                  <c:v>14.6666666666667</c:v>
                </c:pt>
                <c:pt idx="16">
                  <c:v>0</c:v>
                </c:pt>
                <c:pt idx="17">
                  <c:v>6.1764705882352997</c:v>
                </c:pt>
                <c:pt idx="18">
                  <c:v>2.5</c:v>
                </c:pt>
                <c:pt idx="19">
                  <c:v>3.0769230769230802</c:v>
                </c:pt>
                <c:pt idx="20">
                  <c:v>7.78</c:v>
                </c:pt>
                <c:pt idx="21">
                  <c:v>13.125</c:v>
                </c:pt>
                <c:pt idx="22">
                  <c:v>15</c:v>
                </c:pt>
                <c:pt idx="23">
                  <c:v>0</c:v>
                </c:pt>
                <c:pt idx="24">
                  <c:v>7</c:v>
                </c:pt>
                <c:pt idx="25">
                  <c:v>5.5</c:v>
                </c:pt>
                <c:pt idx="26">
                  <c:v>13.6</c:v>
                </c:pt>
                <c:pt idx="27">
                  <c:v>0</c:v>
                </c:pt>
                <c:pt idx="28">
                  <c:v>13.75</c:v>
                </c:pt>
                <c:pt idx="29">
                  <c:v>13.75</c:v>
                </c:pt>
                <c:pt idx="30">
                  <c:v>11.67</c:v>
                </c:pt>
              </c:numCache>
            </c:numRef>
          </c:yVal>
          <c:smooth val="0"/>
          <c:extLst>
            <c:ext xmlns:c16="http://schemas.microsoft.com/office/drawing/2014/chart" uri="{C3380CC4-5D6E-409C-BE32-E72D297353CC}">
              <c16:uniqueId val="{00000001-805D-DD4F-8629-85D2FA04AF65}"/>
            </c:ext>
          </c:extLst>
        </c:ser>
        <c:ser>
          <c:idx val="0"/>
          <c:order val="1"/>
          <c:tx>
            <c:v>Card 29</c:v>
          </c:tx>
          <c:spPr>
            <a:ln w="25400" cap="rnd">
              <a:noFill/>
              <a:round/>
            </a:ln>
            <a:effectLst/>
          </c:spPr>
          <c:marker>
            <c:symbol val="circle"/>
            <c:size val="10"/>
            <c:spPr>
              <a:solidFill>
                <a:srgbClr val="E7B5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'3. Card Performance'!$C$2</c:f>
              <c:numCache>
                <c:formatCode>#,##0</c:formatCode>
                <c:ptCount val="1"/>
                <c:pt idx="0">
                  <c:v>398</c:v>
                </c:pt>
              </c:numCache>
            </c:numRef>
          </c:xVal>
          <c:yVal>
            <c:numRef>
              <c:f>'3. Card Performance'!$H$2</c:f>
              <c:numCache>
                <c:formatCode>"£"#,##0.00</c:formatCode>
                <c:ptCount val="1"/>
                <c:pt idx="0">
                  <c:v>6.9648241206030201</c:v>
                </c:pt>
              </c:numCache>
            </c:numRef>
          </c:yVal>
          <c:smooth val="0"/>
          <c:extLst>
            <c:ext xmlns:c16="http://schemas.microsoft.com/office/drawing/2014/chart" uri="{C3380CC4-5D6E-409C-BE32-E72D297353CC}">
              <c16:uniqueId val="{0000000D-805D-DD4F-8629-85D2FA04AF65}"/>
            </c:ext>
          </c:extLst>
        </c:ser>
        <c:ser>
          <c:idx val="2"/>
          <c:order val="2"/>
          <c:tx>
            <c:v>Card 30</c:v>
          </c:tx>
          <c:spPr>
            <a:ln w="25400" cap="rnd">
              <a:noFill/>
              <a:round/>
            </a:ln>
            <a:effectLst/>
          </c:spPr>
          <c:marker>
            <c:symbol val="circle"/>
            <c:size val="8"/>
            <c:spPr>
              <a:solidFill>
                <a:srgbClr val="0F5D75"/>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'3. Card Performance'!$C$3</c:f>
              <c:numCache>
                <c:formatCode>#,##0</c:formatCode>
                <c:ptCount val="1"/>
                <c:pt idx="0">
                  <c:v>281</c:v>
                </c:pt>
              </c:numCache>
            </c:numRef>
          </c:xVal>
          <c:yVal>
            <c:numRef>
              <c:f>'3. Card Performance'!$H$3</c:f>
              <c:numCache>
                <c:formatCode>"£"#,##0.00</c:formatCode>
                <c:ptCount val="1"/>
                <c:pt idx="0">
                  <c:v>13.9359430604982</c:v>
                </c:pt>
              </c:numCache>
            </c:numRef>
          </c:yVal>
          <c:smooth val="0"/>
          <c:extLst>
            <c:ext xmlns:c16="http://schemas.microsoft.com/office/drawing/2014/chart" uri="{C3380CC4-5D6E-409C-BE32-E72D297353CC}">
              <c16:uniqueId val="{0000000E-805D-DD4F-8629-85D2FA04AF65}"/>
            </c:ext>
          </c:extLst>
        </c:ser>
        <c:ser>
          <c:idx val="3"/>
          <c:order val="3"/>
          <c:tx>
            <c:v>Card 31</c:v>
          </c:tx>
          <c:spPr>
            <a:ln w="25400" cap="rnd">
              <a:noFill/>
              <a:round/>
            </a:ln>
            <a:effectLst/>
          </c:spPr>
          <c:marker>
            <c:symbol val="circle"/>
            <c:size val="8"/>
            <c:spPr>
              <a:solidFill>
                <a:srgbClr val="2F7E96"/>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'3. Card Performance'!$C$8</c:f>
              <c:numCache>
                <c:formatCode>#,##0</c:formatCode>
                <c:ptCount val="1"/>
                <c:pt idx="0">
                  <c:v>80</c:v>
                </c:pt>
              </c:numCache>
            </c:numRef>
          </c:xVal>
          <c:yVal>
            <c:numRef>
              <c:f>'3. Card Performance'!$H$8</c:f>
              <c:numCache>
                <c:formatCode>"£"#,##0.00</c:formatCode>
                <c:ptCount val="1"/>
                <c:pt idx="0">
                  <c:v>11.55</c:v>
                </c:pt>
              </c:numCache>
            </c:numRef>
          </c:yVal>
          <c:smooth val="0"/>
          <c:extLst>
            <c:ext xmlns:c16="http://schemas.microsoft.com/office/drawing/2014/chart" uri="{C3380CC4-5D6E-409C-BE32-E72D297353CC}">
              <c16:uniqueId val="{0000000F-805D-DD4F-8629-85D2FA04AF65}"/>
            </c:ext>
          </c:extLst>
        </c:ser>
        <c:dLbls>
          <c:showLegendKey val="0"/>
          <c:showVal val="0"/>
          <c:showCatName val="0"/>
          <c:showSerName val="0"/>
          <c:showPercent val="0"/>
          <c:showBubbleSize val="0"/>
        </c:dLbls>
        <c:axId val="637220415"/>
        <c:axId val="637221759"/>
      </c:scatterChart>
      <c:scatterChart>
        <c:scatterStyle val="smoothMarker"/>
        <c:varyColors val="0"/>
        <c:ser>
          <c:idx val="4"/>
          <c:order val="4"/>
          <c:tx>
            <c:v>Panel RPC</c:v>
          </c:tx>
          <c:spPr>
            <a:ln w="19050" cap="rnd">
              <a:solidFill>
                <a:srgbClr val="7A8691"/>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6-805D-DD4F-8629-85D2FA04AF65}"/>
                </c:ext>
              </c:extLst>
            </c:dLbl>
            <c:dLbl>
              <c:idx val="1"/>
              <c:delete val="1"/>
              <c:extLst>
                <c:ext xmlns:c15="http://schemas.microsoft.com/office/drawing/2012/chart" uri="{CE6537A1-D6FC-4f65-9D91-7224C49458BB}">
                  <c15:layout>
                    <c:manualLayout>
                      <c:w val="6.7769779373918079E-2"/>
                      <c:h val="5.8800185268184257E-2"/>
                    </c:manualLayout>
                  </c15:layout>
                </c:ext>
                <c:ext xmlns:c16="http://schemas.microsoft.com/office/drawing/2014/chart" uri="{C3380CC4-5D6E-409C-BE32-E72D297353CC}">
                  <c16:uniqueId val="{00000017-805D-DD4F-8629-85D2FA04AF6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'3. Card Performance'!$P$2:$P$3</c:f>
              <c:numCache>
                <c:formatCode>#,##0</c:formatCode>
                <c:ptCount val="2"/>
                <c:pt idx="0" formatCode="General">
                  <c:v>0</c:v>
                </c:pt>
                <c:pt idx="1">
                  <c:v>398</c:v>
                </c:pt>
              </c:numCache>
            </c:numRef>
          </c:xVal>
          <c:yVal>
            <c:numRef>
              <c:f>'3. Card Performance'!$Q$2:$Q$3</c:f>
              <c:numCache>
                <c:formatCode>#,##0</c:formatCode>
                <c:ptCount val="2"/>
                <c:pt idx="0" formatCode="General">
                  <c:v>11.319302200751499</c:v>
                </c:pt>
                <c:pt idx="1">
                  <c:v>11.319302200751499</c:v>
                </c:pt>
              </c:numCache>
            </c:numRef>
          </c:yVal>
          <c:smooth val="1"/>
          <c:extLst>
            <c:ext xmlns:c16="http://schemas.microsoft.com/office/drawing/2014/chart" uri="{C3380CC4-5D6E-409C-BE32-E72D297353CC}">
              <c16:uniqueId val="{00000013-805D-DD4F-8629-85D2FA04AF65}"/>
            </c:ext>
          </c:extLst>
        </c:ser>
        <c:dLbls>
          <c:showLegendKey val="0"/>
          <c:showVal val="0"/>
          <c:showCatName val="0"/>
          <c:showSerName val="0"/>
          <c:showPercent val="0"/>
          <c:showBubbleSize val="0"/>
        </c:dLbls>
        <c:axId val="637220415"/>
        <c:axId val="637221759"/>
      </c:scatterChart>
      <c:valAx>
        <c:axId val="63722041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Clicks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7221759"/>
        <c:crosses val="autoZero"/>
        <c:crossBetween val="midCat"/>
        <c:majorUnit val="100"/>
      </c:valAx>
      <c:valAx>
        <c:axId val="63722175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 per Click</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809]#,##0.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7220415"/>
        <c:crosses val="autoZero"/>
        <c:crossBetween val="midCat"/>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0" baseline="0"/>
              <a:t>Revenue impact vs remaining-group transfer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Revenue impact</c:v>
          </c:tx>
          <c:spPr>
            <a:ln w="31750" cap="rnd">
              <a:solidFill>
                <a:srgbClr val="0F5D75"/>
              </a:solidFill>
              <a:round/>
            </a:ln>
            <a:effectLst/>
          </c:spPr>
          <c:marker>
            <c:symbol val="circle"/>
            <c:size val="6"/>
            <c:spPr>
              <a:solidFill>
                <a:srgbClr val="0F5D75"/>
              </a:solidFill>
              <a:ln w="9525">
                <a:noFill/>
              </a:ln>
              <a:effectLst/>
            </c:spPr>
          </c:marker>
          <c:xVal>
            <c:numRef>
              <c:f>'6. Sensitivity'!$A$9:$A$19</c:f>
              <c:numCache>
                <c:formatCode>0%</c:formatCode>
                <c:ptCount val="11"/>
                <c:pt idx="0">
                  <c:v>0</c:v>
                </c:pt>
                <c:pt idx="1">
                  <c:v>0.1</c:v>
                </c:pt>
                <c:pt idx="2">
                  <c:v>0.2</c:v>
                </c:pt>
                <c:pt idx="3">
                  <c:v>0.3</c:v>
                </c:pt>
                <c:pt idx="4">
                  <c:v>0.4</c:v>
                </c:pt>
                <c:pt idx="5">
                  <c:v>0.5</c:v>
                </c:pt>
                <c:pt idx="6">
                  <c:v>0.6</c:v>
                </c:pt>
                <c:pt idx="7">
                  <c:v>0.7</c:v>
                </c:pt>
                <c:pt idx="8">
                  <c:v>0.8</c:v>
                </c:pt>
                <c:pt idx="9">
                  <c:v>0.9</c:v>
                </c:pt>
                <c:pt idx="10">
                  <c:v>1</c:v>
                </c:pt>
              </c:numCache>
            </c:numRef>
          </c:xVal>
          <c:yVal>
            <c:numRef>
              <c:f>'6. Sensitivity'!$E$9:$E$19</c:f>
              <c:numCache>
                <c:formatCode>"£"#,##0.00;[Red]\-"£"#,##0.00</c:formatCode>
                <c:ptCount val="11"/>
                <c:pt idx="0">
                  <c:v>-677.02077716971098</c:v>
                </c:pt>
                <c:pt idx="1">
                  <c:v>-593.24224100202605</c:v>
                </c:pt>
                <c:pt idx="2">
                  <c:v>-509.46370483433998</c:v>
                </c:pt>
                <c:pt idx="3">
                  <c:v>-425.68516866665499</c:v>
                </c:pt>
                <c:pt idx="4">
                  <c:v>-341.90663249896897</c:v>
                </c:pt>
                <c:pt idx="5">
                  <c:v>-258.12809633128302</c:v>
                </c:pt>
                <c:pt idx="6">
                  <c:v>-174.349560163597</c:v>
                </c:pt>
                <c:pt idx="7">
                  <c:v>-90.571023995911702</c:v>
                </c:pt>
                <c:pt idx="8">
                  <c:v>-6.7924878282260597</c:v>
                </c:pt>
                <c:pt idx="9">
                  <c:v>76.9860483394596</c:v>
                </c:pt>
                <c:pt idx="10">
                  <c:v>160.764584507145</c:v>
                </c:pt>
              </c:numCache>
            </c:numRef>
          </c:yVal>
          <c:smooth val="0"/>
          <c:extLst>
            <c:ext xmlns:c16="http://schemas.microsoft.com/office/drawing/2014/chart" uri="{C3380CC4-5D6E-409C-BE32-E72D297353CC}">
              <c16:uniqueId val="{00000000-1374-9043-B78F-75704FFE4A63}"/>
            </c:ext>
          </c:extLst>
        </c:ser>
        <c:ser>
          <c:idx val="1"/>
          <c:order val="1"/>
          <c:tx>
            <c:v>Break-even line</c:v>
          </c:tx>
          <c:spPr>
            <a:ln w="19050" cap="rnd">
              <a:solidFill>
                <a:srgbClr val="7A8691"/>
              </a:solidFill>
              <a:round/>
            </a:ln>
            <a:effectLst/>
          </c:spPr>
          <c:marker>
            <c:symbol val="circle"/>
            <c:size val="5"/>
            <c:spPr>
              <a:solidFill>
                <a:schemeClr val="accent2"/>
              </a:solidFill>
              <a:ln w="9525">
                <a:solidFill>
                  <a:schemeClr val="accent2"/>
                </a:solidFill>
              </a:ln>
              <a:effectLst/>
            </c:spPr>
          </c:marker>
          <c:xVal>
            <c:numRef>
              <c:f>'6. Sensitivity'!$G$9:$G$10</c:f>
              <c:numCache>
                <c:formatCode>General</c:formatCode>
                <c:ptCount val="2"/>
                <c:pt idx="0">
                  <c:v>0</c:v>
                </c:pt>
                <c:pt idx="1">
                  <c:v>1</c:v>
                </c:pt>
              </c:numCache>
            </c:numRef>
          </c:xVal>
          <c:yVal>
            <c:numRef>
              <c:f>'6. Sensitivity'!$H$9:$H$10</c:f>
              <c:numCache>
                <c:formatCode>General</c:formatCode>
                <c:ptCount val="2"/>
                <c:pt idx="0">
                  <c:v>0</c:v>
                </c:pt>
                <c:pt idx="1">
                  <c:v>0</c:v>
                </c:pt>
              </c:numCache>
            </c:numRef>
          </c:yVal>
          <c:smooth val="0"/>
          <c:extLst>
            <c:ext xmlns:c16="http://schemas.microsoft.com/office/drawing/2014/chart" uri="{C3380CC4-5D6E-409C-BE32-E72D297353CC}">
              <c16:uniqueId val="{00000001-1374-9043-B78F-75704FFE4A63}"/>
            </c:ext>
          </c:extLst>
        </c:ser>
        <c:ser>
          <c:idx val="2"/>
          <c:order val="2"/>
          <c:tx>
            <c:v>Revenue break-even</c:v>
          </c:tx>
          <c:spPr>
            <a:ln w="19050" cap="rnd">
              <a:solidFill>
                <a:schemeClr val="accent3"/>
              </a:solidFill>
              <a:round/>
            </a:ln>
            <a:effectLst/>
          </c:spPr>
          <c:marker>
            <c:symbol val="circle"/>
            <c:size val="10"/>
            <c:spPr>
              <a:solidFill>
                <a:srgbClr val="E3A008"/>
              </a:solidFill>
              <a:ln w="9525">
                <a:solidFill>
                  <a:schemeClr val="accent3"/>
                </a:solidFill>
              </a:ln>
              <a:effectLst/>
            </c:spPr>
          </c:marker>
          <c:dLbls>
            <c:dLbl>
              <c:idx val="0"/>
              <c:layout>
                <c:manualLayout>
                  <c:x val="-0.10492705599300088"/>
                  <c:y val="-0.12499981773111699"/>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r>
                      <a:rPr lang="en-US" b="1"/>
                      <a:t>80.8%</a:t>
                    </a:r>
                    <a:r>
                      <a:rPr lang="en-US" b="1" baseline="0"/>
                      <a:t> revenue break-even</a:t>
                    </a:r>
                    <a:endParaRPr lang="en-US" b="1"/>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2000699912510935"/>
                      <c:h val="0.14807888597258673"/>
                    </c:manualLayout>
                  </c15:layout>
                  <c15:showDataLabelsRange val="0"/>
                </c:ext>
                <c:ext xmlns:c16="http://schemas.microsoft.com/office/drawing/2014/chart" uri="{C3380CC4-5D6E-409C-BE32-E72D297353CC}">
                  <c16:uniqueId val="{00000003-1374-9043-B78F-75704FFE4A6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'6. Sensitivity'!$J$9</c:f>
              <c:numCache>
                <c:formatCode>0.0%</c:formatCode>
                <c:ptCount val="1"/>
                <c:pt idx="0">
                  <c:v>0.80810767069817402</c:v>
                </c:pt>
              </c:numCache>
            </c:numRef>
          </c:xVal>
          <c:yVal>
            <c:numRef>
              <c:f>'6. Sensitivity'!$K$9</c:f>
              <c:numCache>
                <c:formatCode>General</c:formatCode>
                <c:ptCount val="1"/>
                <c:pt idx="0">
                  <c:v>0</c:v>
                </c:pt>
              </c:numCache>
            </c:numRef>
          </c:yVal>
          <c:smooth val="0"/>
          <c:extLst>
            <c:ext xmlns:c16="http://schemas.microsoft.com/office/drawing/2014/chart" uri="{C3380CC4-5D6E-409C-BE32-E72D297353CC}">
              <c16:uniqueId val="{00000002-1374-9043-B78F-75704FFE4A63}"/>
            </c:ext>
          </c:extLst>
        </c:ser>
        <c:dLbls>
          <c:showLegendKey val="0"/>
          <c:showVal val="0"/>
          <c:showCatName val="0"/>
          <c:showSerName val="0"/>
          <c:showPercent val="0"/>
          <c:showBubbleSize val="0"/>
        </c:dLbls>
        <c:axId val="665597055"/>
        <c:axId val="665597503"/>
      </c:scatterChart>
      <c:valAx>
        <c:axId val="665597055"/>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5597503"/>
        <c:crosses val="autoZero"/>
        <c:crossBetween val="midCat"/>
      </c:valAx>
      <c:valAx>
        <c:axId val="6655975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 change vs keeping Card 29</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00;[Red]\-&quot;£&quot;#,##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5597055"/>
        <c:crosses val="autoZero"/>
        <c:crossBetween val="midCat"/>
        <c:majorUnit val="2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xdr:col>
      <xdr:colOff>385234</xdr:colOff>
      <xdr:row>36</xdr:row>
      <xdr:rowOff>27517</xdr:rowOff>
    </xdr:from>
    <xdr:to>
      <xdr:col>12</xdr:col>
      <xdr:colOff>663222</xdr:colOff>
      <xdr:row>58</xdr:row>
      <xdr:rowOff>183445</xdr:rowOff>
    </xdr:to>
    <xdr:graphicFrame macro="">
      <xdr:nvGraphicFramePr>
        <xdr:cNvPr id="3" name="Chart 2">
          <a:extLst>
            <a:ext uri="{FF2B5EF4-FFF2-40B4-BE49-F238E27FC236}">
              <a16:creationId xmlns:a16="http://schemas.microsoft.com/office/drawing/2014/main" id="{C8055FE3-0A41-C549-9684-3B394F305C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933450</xdr:colOff>
      <xdr:row>20</xdr:row>
      <xdr:rowOff>31750</xdr:rowOff>
    </xdr:from>
    <xdr:to>
      <xdr:col>8</xdr:col>
      <xdr:colOff>393700</xdr:colOff>
      <xdr:row>42</xdr:row>
      <xdr:rowOff>165100</xdr:rowOff>
    </xdr:to>
    <xdr:graphicFrame macro="">
      <xdr:nvGraphicFramePr>
        <xdr:cNvPr id="4" name="Chart 3">
          <a:extLst>
            <a:ext uri="{FF2B5EF4-FFF2-40B4-BE49-F238E27FC236}">
              <a16:creationId xmlns:a16="http://schemas.microsoft.com/office/drawing/2014/main" id="{9F2F0AB8-74B5-3A17-5BB5-AD2F09812F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anelBaseline" displayName="tblPanelBaseline" ref="A1:L2" totalsRowShown="0" dataDxfId="62">
  <autoFilter ref="A1:L2" xr:uid="{00000000-0009-0000-0100-000001000000}"/>
  <tableColumns count="12">
    <tableColumn id="1" xr3:uid="{00000000-0010-0000-0000-000001000000}" name="total_applications" dataDxfId="61"/>
    <tableColumn id="2" xr3:uid="{00000000-0010-0000-0000-000002000000}" name="total_offers" dataDxfId="60"/>
    <tableColumn id="3" xr3:uid="{00000000-0010-0000-0000-000003000000}" name="applications_with_click" dataDxfId="59"/>
    <tableColumn id="4" xr3:uid="{00000000-0010-0000-0000-000004000000}" name="total_clicks" dataDxfId="58"/>
    <tableColumn id="5" xr3:uid="{00000000-0010-0000-0000-000005000000}" name="total_sales" dataDxfId="57"/>
    <tableColumn id="6" xr3:uid="{00000000-0010-0000-0000-000006000000}" name="total_revenue" dataDxfId="56"/>
    <tableColumn id="7" xr3:uid="{00000000-0010-0000-0000-000007000000}" name="application_clickout_rate" dataDxfId="55"/>
    <tableColumn id="8" xr3:uid="{00000000-0010-0000-0000-000008000000}" name="offer_click_through_rate" dataDxfId="54"/>
    <tableColumn id="9" xr3:uid="{00000000-0010-0000-0000-000009000000}" name="click_to_sale_rate" dataDxfId="53"/>
    <tableColumn id="10" xr3:uid="{00000000-0010-0000-0000-00000A000000}" name="revenue_per_click" dataDxfId="52"/>
    <tableColumn id="11" xr3:uid="{00000000-0010-0000-0000-00000B000000}" name="revenue_per_application" dataDxfId="51"/>
    <tableColumn id="12" xr3:uid="{00000000-0010-0000-0000-00000C000000}" name="sales_per_100_applications" dataDxfId="5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ardPerformance" displayName="tblCardPerformance" ref="A1:N35" totalsRowShown="0" dataDxfId="49">
  <autoFilter ref="A1:N35" xr:uid="{00000000-0009-0000-0100-000002000000}"/>
  <tableColumns count="14">
    <tableColumn id="1" xr3:uid="{00000000-0010-0000-0100-000001000000}" name="card_id" dataDxfId="48"/>
    <tableColumn id="2" xr3:uid="{00000000-0010-0000-0100-000002000000}" name="offers" dataDxfId="47"/>
    <tableColumn id="3" xr3:uid="{00000000-0010-0000-0100-000003000000}" name="clicks" dataDxfId="46"/>
    <tableColumn id="4" xr3:uid="{00000000-0010-0000-0100-000004000000}" name="click_through_rate" dataDxfId="45"/>
    <tableColumn id="5" xr3:uid="{00000000-0010-0000-0100-000005000000}" name="sales" dataDxfId="44"/>
    <tableColumn id="6" xr3:uid="{00000000-0010-0000-0100-000006000000}" name="click_to_sale_rate" dataDxfId="43"/>
    <tableColumn id="7" xr3:uid="{00000000-0010-0000-0100-000007000000}" name="revenue" dataDxfId="42"/>
    <tableColumn id="8" xr3:uid="{00000000-0010-0000-0100-000008000000}" name="revenue_per_click" dataDxfId="41"/>
    <tableColumn id="9" xr3:uid="{00000000-0010-0000-0100-000009000000}" name="revenue_per_offer" dataDxfId="40"/>
    <tableColumn id="10" xr3:uid="{00000000-0010-0000-0100-00000A000000}" name="revenue_per_sale" dataDxfId="39"/>
    <tableColumn id="11" xr3:uid="{00000000-0010-0000-0100-00000B000000}" name="avg_apr" dataDxfId="38"/>
    <tableColumn id="12" xr3:uid="{00000000-0010-0000-0100-00000C000000}" name="avg_likelihood" dataDxfId="37"/>
    <tableColumn id="13" xr3:uid="{00000000-0010-0000-0100-00000D000000}" name="avg_apr_rank" dataDxfId="36"/>
    <tableColumn id="14" xr3:uid="{00000000-0010-0000-0100-00000E000000}" name="avg_likelihood_rank" dataDxfId="3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Card29Context" displayName="tblCard29Context" ref="A1:J34" totalsRowShown="0" dataDxfId="34">
  <autoFilter ref="A1:J34" xr:uid="{00000000-0009-0000-0100-000003000000}"/>
  <tableColumns count="10">
    <tableColumn id="1" xr3:uid="{00000000-0010-0000-0200-000001000000}" name="competitor_card" dataDxfId="33"/>
    <tableColumn id="2" xr3:uid="{00000000-0010-0000-0200-000002000000}" name="applications_together" dataDxfId="32"/>
    <tableColumn id="3" xr3:uid="{00000000-0010-0000-0200-000003000000}" name="card29_clicks" dataDxfId="31"/>
    <tableColumn id="4" xr3:uid="{00000000-0010-0000-0200-000004000000}" name="competitor_clicks" dataDxfId="30"/>
    <tableColumn id="5" xr3:uid="{00000000-0010-0000-0200-000005000000}" name="card29_click_rate" dataDxfId="29"/>
    <tableColumn id="6" xr3:uid="{00000000-0010-0000-0200-000006000000}" name="competitor_click_rate" dataDxfId="28"/>
    <tableColumn id="7" xr3:uid="{00000000-0010-0000-0200-000007000000}" name="click_rate_multiple" dataDxfId="27"/>
    <tableColumn id="8" xr3:uid="{00000000-0010-0000-0200-000008000000}" name="same_likelihood_rate" dataDxfId="26"/>
    <tableColumn id="9" xr3:uid="{00000000-0010-0000-0200-000009000000}" name="card29_higher_likelihood_rate" dataDxfId="25"/>
    <tableColumn id="10" xr3:uid="{00000000-0010-0000-0200-00000A000000}" name="card29_lower_apr_rate" dataDxfId="2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ScenarioComparison" displayName="tblScenarioComparison" ref="A1:D4" totalsRowShown="0" dataDxfId="23">
  <autoFilter ref="A1:D4" xr:uid="{00000000-0009-0000-0100-000004000000}"/>
  <tableColumns count="4">
    <tableColumn id="1" xr3:uid="{00000000-0010-0000-0300-000001000000}" name="scenario" dataDxfId="22"/>
    <tableColumn id="2" xr3:uid="{00000000-0010-0000-0300-000002000000}" name="clicks_or_expected_clicks" dataDxfId="21"/>
    <tableColumn id="3" xr3:uid="{00000000-0010-0000-0300-000003000000}" name="sales_or_expected_sales" dataDxfId="20"/>
    <tableColumn id="4" xr3:uid="{00000000-0010-0000-0300-000004000000}" name="revenue_or_expected_revenue" dataDxfId="1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ScenarioAReplacements" displayName="tblScenarioAReplacements" ref="A8:B22" totalsRowShown="0">
  <autoFilter ref="A8:B22" xr:uid="{00000000-0009-0000-0100-000005000000}"/>
  <tableColumns count="2">
    <tableColumn id="1" xr3:uid="{00000000-0010-0000-0400-000001000000}" name="card_id" dataDxfId="18"/>
    <tableColumn id="2" xr3:uid="{00000000-0010-0000-0400-000002000000}" name="modelled_replacements" dataDxfId="1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ScenarioBAmbiguous" displayName="tblScenarioBAmbiguous" ref="D9:G13" totalsRowShown="0" dataDxfId="16">
  <autoFilter ref="D9:G13" xr:uid="{00000000-0009-0000-0100-000006000000}"/>
  <tableColumns count="4">
    <tableColumn id="1" xr3:uid="{00000000-0010-0000-0500-000001000000}" name="outcome" dataDxfId="15"/>
    <tableColumn id="2" xr3:uid="{00000000-0010-0000-0500-000002000000}" name="expected_applicants" dataDxfId="14"/>
    <tableColumn id="3" xr3:uid="{00000000-0010-0000-0500-000003000000}" name="expected_sales" dataDxfId="13"/>
    <tableColumn id="4" xr3:uid="{00000000-0010-0000-0500-000004000000}" name="expected_revenue" dataDxfId="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BreakEven" displayName="tblBreakEven" ref="A1:B3" totalsRowShown="0">
  <autoFilter ref="A1:B3" xr:uid="{00000000-0009-0000-0100-000007000000}"/>
  <tableColumns count="2">
    <tableColumn id="1" xr3:uid="{00000000-0010-0000-0600-000001000000}" name="metric" dataDxfId="11"/>
    <tableColumn id="2" xr3:uid="{00000000-0010-0000-0600-000002000000}" name="value" dataDxfId="1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Sensitivity" displayName="tblSensitivity" ref="A8:E19" totalsRowShown="0" dataDxfId="9">
  <autoFilter ref="A8:E19" xr:uid="{00000000-0009-0000-0100-000008000000}"/>
  <tableColumns count="5">
    <tableColumn id="1" xr3:uid="{00000000-0010-0000-0700-000001000000}" name="remaining_transfer_rate" dataDxfId="8"/>
    <tableColumn id="2" xr3:uid="{00000000-0010-0000-0700-000002000000}" name="expected_sales" dataDxfId="7"/>
    <tableColumn id="3" xr3:uid="{00000000-0010-0000-0700-000003000000}" name="expected_revenue" dataDxfId="6"/>
    <tableColumn id="4" xr3:uid="{00000000-0010-0000-0700-000004000000}" name="sales_vs_card29" dataDxfId="5"/>
    <tableColumn id="5" xr3:uid="{00000000-0010-0000-0700-000005000000}" name="revenue_vs_card29"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4"/>
  <sheetViews>
    <sheetView tabSelected="1" topLeftCell="A2" workbookViewId="0">
      <selection sqref="A1:H2"/>
    </sheetView>
  </sheetViews>
  <sheetFormatPr baseColWidth="10" defaultRowHeight="16" x14ac:dyDescent="0.2"/>
  <cols>
    <col min="1" max="1" width="34" customWidth="1"/>
    <col min="2" max="5" width="16" customWidth="1"/>
    <col min="6" max="8" width="18" customWidth="1"/>
  </cols>
  <sheetData>
    <row r="1" spans="1:8" ht="37.25" customHeight="1" x14ac:dyDescent="0.2">
      <c r="A1" s="60" t="s">
        <v>89</v>
      </c>
      <c r="B1" s="60"/>
      <c r="C1" s="60"/>
      <c r="D1" s="60"/>
      <c r="E1" s="60"/>
      <c r="F1" s="60"/>
      <c r="G1" s="60"/>
      <c r="H1" s="60"/>
    </row>
    <row r="2" spans="1:8" ht="37.25" customHeight="1" x14ac:dyDescent="0.2">
      <c r="A2" s="60"/>
      <c r="B2" s="60"/>
      <c r="C2" s="60"/>
      <c r="D2" s="60"/>
      <c r="E2" s="60"/>
      <c r="F2" s="60"/>
      <c r="G2" s="60"/>
      <c r="H2" s="60"/>
    </row>
    <row r="3" spans="1:8" x14ac:dyDescent="0.2">
      <c r="A3" s="61" t="s">
        <v>90</v>
      </c>
      <c r="B3" s="61"/>
      <c r="C3" s="61"/>
      <c r="D3" s="61"/>
      <c r="E3" s="61"/>
      <c r="F3" s="61"/>
      <c r="G3" s="61"/>
      <c r="H3" s="61"/>
    </row>
    <row r="5" spans="1:8" ht="40" customHeight="1" x14ac:dyDescent="0.2">
      <c r="A5" s="62" t="s">
        <v>91</v>
      </c>
      <c r="B5" s="62"/>
      <c r="C5" s="62"/>
      <c r="D5" s="62"/>
      <c r="E5" s="62"/>
      <c r="F5" s="62"/>
      <c r="G5" s="62"/>
      <c r="H5" s="62"/>
    </row>
    <row r="6" spans="1:8" ht="40" customHeight="1" x14ac:dyDescent="0.2">
      <c r="A6" s="62"/>
      <c r="B6" s="62"/>
      <c r="C6" s="62"/>
      <c r="D6" s="62"/>
      <c r="E6" s="62"/>
      <c r="F6" s="62"/>
      <c r="G6" s="62"/>
      <c r="H6" s="62"/>
    </row>
    <row r="7" spans="1:8" ht="40" customHeight="1" x14ac:dyDescent="0.2">
      <c r="A7" s="62"/>
      <c r="B7" s="62"/>
      <c r="C7" s="62"/>
      <c r="D7" s="62"/>
      <c r="E7" s="62"/>
      <c r="F7" s="62"/>
      <c r="G7" s="62"/>
      <c r="H7" s="62"/>
    </row>
    <row r="9" spans="1:8" x14ac:dyDescent="0.2">
      <c r="A9" s="63" t="s">
        <v>92</v>
      </c>
      <c r="B9" s="63"/>
      <c r="C9" s="63"/>
      <c r="D9" s="63"/>
      <c r="E9" s="63"/>
      <c r="F9" s="63"/>
      <c r="G9" s="63"/>
      <c r="H9" s="63"/>
    </row>
    <row r="10" spans="1:8" x14ac:dyDescent="0.2">
      <c r="A10" s="64" t="s">
        <v>93</v>
      </c>
      <c r="B10" s="64"/>
      <c r="C10" s="64" t="s">
        <v>94</v>
      </c>
      <c r="D10" s="64"/>
      <c r="E10" s="64" t="s">
        <v>95</v>
      </c>
      <c r="F10" s="64"/>
      <c r="G10" s="64" t="s">
        <v>96</v>
      </c>
      <c r="H10" s="64"/>
    </row>
    <row r="11" spans="1:8" x14ac:dyDescent="0.2">
      <c r="A11" s="65">
        <f>'3. Card Performance'!C2</f>
        <v>398</v>
      </c>
      <c r="B11" s="65"/>
      <c r="C11" s="66">
        <f>'3. Card Performance'!F2</f>
        <v>0.15829145728643201</v>
      </c>
      <c r="D11" s="66"/>
      <c r="E11" s="67">
        <f>'3. Card Performance'!H2</f>
        <v>6.9648241206030201</v>
      </c>
      <c r="F11" s="67"/>
      <c r="G11" s="67">
        <f>'2. Panel Baseline'!J2</f>
        <v>11.319302200751499</v>
      </c>
      <c r="H11" s="67"/>
    </row>
    <row r="12" spans="1:8" x14ac:dyDescent="0.2">
      <c r="A12" s="65"/>
      <c r="B12" s="65"/>
      <c r="C12" s="66"/>
      <c r="D12" s="66"/>
      <c r="E12" s="67"/>
      <c r="F12" s="67"/>
      <c r="G12" s="67"/>
      <c r="H12" s="67"/>
    </row>
    <row r="14" spans="1:8" x14ac:dyDescent="0.2">
      <c r="A14" s="63" t="s">
        <v>97</v>
      </c>
      <c r="B14" s="63"/>
      <c r="C14" s="63"/>
      <c r="D14" s="63"/>
      <c r="E14" s="63"/>
      <c r="F14" s="63"/>
      <c r="G14" s="63"/>
      <c r="H14" s="63"/>
    </row>
    <row r="15" spans="1:8" ht="26.75" customHeight="1" x14ac:dyDescent="0.2">
      <c r="A15" s="38" t="s">
        <v>98</v>
      </c>
      <c r="B15" s="38" t="s">
        <v>99</v>
      </c>
      <c r="C15" s="38" t="s">
        <v>100</v>
      </c>
      <c r="D15" s="38" t="s">
        <v>101</v>
      </c>
      <c r="E15" s="38" t="s">
        <v>102</v>
      </c>
      <c r="F15" s="38" t="s">
        <v>103</v>
      </c>
      <c r="G15" s="38" t="s">
        <v>104</v>
      </c>
    </row>
    <row r="16" spans="1:8" ht="26.75" customHeight="1" x14ac:dyDescent="0.2">
      <c r="A16" s="46" t="str">
        <f>'3. Card Performance'!A2</f>
        <v>Card 29</v>
      </c>
      <c r="B16" s="47">
        <f>'3. Card Performance'!C2</f>
        <v>398</v>
      </c>
      <c r="C16" s="48">
        <f>'3. Card Performance'!D2</f>
        <v>0.24937343358396</v>
      </c>
      <c r="D16" s="48">
        <f>'3. Card Performance'!F2</f>
        <v>0.15829145728643201</v>
      </c>
      <c r="E16" s="49">
        <f>'3. Card Performance'!H2</f>
        <v>6.9648241206030201</v>
      </c>
      <c r="F16" s="50">
        <f>'3. Card Performance'!K2</f>
        <v>29.900000000000901</v>
      </c>
      <c r="G16" s="49">
        <f>'3. Card Performance'!J2</f>
        <v>44</v>
      </c>
    </row>
    <row r="17" spans="1:8" ht="26.75" customHeight="1" x14ac:dyDescent="0.2">
      <c r="A17" s="41" t="str">
        <f>'3. Card Performance'!A3</f>
        <v>Card 30</v>
      </c>
      <c r="B17" s="42">
        <f>'3. Card Performance'!C3</f>
        <v>281</v>
      </c>
      <c r="C17" s="43">
        <f>'3. Card Performance'!D3</f>
        <v>0.175625</v>
      </c>
      <c r="D17" s="43">
        <f>'3. Card Performance'!F3</f>
        <v>0.31672597864768698</v>
      </c>
      <c r="E17" s="44">
        <f>'3. Card Performance'!H3</f>
        <v>13.9359430604982</v>
      </c>
      <c r="F17" s="45">
        <f>'3. Card Performance'!K3</f>
        <v>32.900000000000901</v>
      </c>
      <c r="G17" s="44">
        <f>'3. Card Performance'!J3</f>
        <v>44</v>
      </c>
    </row>
    <row r="18" spans="1:8" ht="26.75" customHeight="1" x14ac:dyDescent="0.2">
      <c r="A18" s="41" t="str">
        <f>'3. Card Performance'!A8</f>
        <v>Card 31</v>
      </c>
      <c r="B18" s="42">
        <f>'3. Card Performance'!C8</f>
        <v>80</v>
      </c>
      <c r="C18" s="43">
        <f>'3. Card Performance'!D8</f>
        <v>5.4869684499314099E-2</v>
      </c>
      <c r="D18" s="43">
        <f>'3. Card Performance'!F8</f>
        <v>0.26250000000000001</v>
      </c>
      <c r="E18" s="44">
        <f>'3. Card Performance'!H8</f>
        <v>11.55</v>
      </c>
      <c r="F18" s="45">
        <f>'3. Card Performance'!K8</f>
        <v>32.900000000000901</v>
      </c>
      <c r="G18" s="44">
        <f>'3. Card Performance'!J8</f>
        <v>44</v>
      </c>
    </row>
    <row r="20" spans="1:8" x14ac:dyDescent="0.2">
      <c r="A20" s="68" t="s">
        <v>105</v>
      </c>
      <c r="B20" s="68"/>
      <c r="C20" s="68"/>
      <c r="D20" s="68"/>
      <c r="E20" s="68"/>
      <c r="F20" s="68"/>
      <c r="G20" s="68"/>
      <c r="H20" s="68"/>
    </row>
    <row r="21" spans="1:8" x14ac:dyDescent="0.2">
      <c r="A21" s="68"/>
      <c r="B21" s="68"/>
      <c r="C21" s="68"/>
      <c r="D21" s="68"/>
      <c r="E21" s="68"/>
      <c r="F21" s="68"/>
      <c r="G21" s="68"/>
      <c r="H21" s="68"/>
    </row>
    <row r="23" spans="1:8" x14ac:dyDescent="0.2">
      <c r="A23" s="63" t="s">
        <v>106</v>
      </c>
      <c r="B23" s="63"/>
      <c r="C23" s="63"/>
      <c r="D23" s="63"/>
      <c r="E23" s="63"/>
      <c r="F23" s="63"/>
      <c r="G23" s="63"/>
      <c r="H23" s="63"/>
    </row>
    <row r="24" spans="1:8" x14ac:dyDescent="0.2">
      <c r="A24" s="38" t="s">
        <v>107</v>
      </c>
      <c r="B24" s="38" t="s">
        <v>108</v>
      </c>
      <c r="C24" s="38" t="s">
        <v>109</v>
      </c>
      <c r="D24" s="38" t="s">
        <v>110</v>
      </c>
      <c r="E24" s="38" t="s">
        <v>111</v>
      </c>
      <c r="F24" s="69" t="s">
        <v>112</v>
      </c>
      <c r="G24" s="69"/>
      <c r="H24" s="69"/>
    </row>
    <row r="25" spans="1:8" ht="29.25" customHeight="1" x14ac:dyDescent="0.2">
      <c r="A25" s="53" t="str">
        <f>'5. Scenario Analysis'!A2</f>
        <v>Keep Card 29</v>
      </c>
      <c r="B25" s="54">
        <f>'5. Scenario Analysis'!B2</f>
        <v>398</v>
      </c>
      <c r="C25" s="54">
        <f>'5. Scenario Analysis'!C2</f>
        <v>63</v>
      </c>
      <c r="D25" s="55">
        <f>'5. Scenario Analysis'!D2</f>
        <v>2772</v>
      </c>
      <c r="E25" s="53" t="s">
        <v>113</v>
      </c>
      <c r="F25" s="70" t="s">
        <v>114</v>
      </c>
      <c r="G25" s="70"/>
      <c r="H25" s="70"/>
    </row>
    <row r="26" spans="1:8" ht="29.25" customHeight="1" x14ac:dyDescent="0.2">
      <c r="A26" s="41" t="str">
        <f>'5. Scenario Analysis'!A3</f>
        <v>A - strongest visible alternative</v>
      </c>
      <c r="B26" s="45">
        <f>'5. Scenario Analysis'!B3</f>
        <v>315</v>
      </c>
      <c r="C26" s="45">
        <f>'5. Scenario Analysis'!C3</f>
        <v>102.65902004722</v>
      </c>
      <c r="D26" s="51">
        <f>'5. Scenario Analysis'!D3</f>
        <v>4180.0298982991098</v>
      </c>
      <c r="E26" s="52">
        <f>D26-$D$25</f>
        <v>1408.0298982991098</v>
      </c>
      <c r="F26" s="70"/>
      <c r="G26" s="70"/>
      <c r="H26" s="70"/>
    </row>
    <row r="27" spans="1:8" ht="29.25" customHeight="1" x14ac:dyDescent="0.2">
      <c r="A27" s="56" t="str">
        <f>'5. Scenario Analysis'!A4</f>
        <v>B - empirical redistribution</v>
      </c>
      <c r="B27" s="57">
        <f>'5. Scenario Analysis'!B4</f>
        <v>224.81818181818201</v>
      </c>
      <c r="C27" s="57">
        <f>'5. Scenario Analysis'!C4</f>
        <v>71.568468705811696</v>
      </c>
      <c r="D27" s="58">
        <f>'5. Scenario Analysis'!D4</f>
        <v>2932.7645845071502</v>
      </c>
      <c r="E27" s="59">
        <f>D27-$D$25</f>
        <v>160.76458450715018</v>
      </c>
      <c r="F27" s="70"/>
      <c r="G27" s="70"/>
      <c r="H27" s="70"/>
    </row>
    <row r="29" spans="1:8" ht="40" customHeight="1" x14ac:dyDescent="0.2">
      <c r="A29" s="71" t="s">
        <v>115</v>
      </c>
      <c r="B29" s="71"/>
      <c r="C29" s="71"/>
      <c r="D29" s="71"/>
      <c r="E29" s="71"/>
      <c r="F29" s="71"/>
      <c r="G29" s="71"/>
      <c r="H29" s="71"/>
    </row>
    <row r="30" spans="1:8" ht="40" customHeight="1" x14ac:dyDescent="0.2">
      <c r="A30" s="71"/>
      <c r="B30" s="71"/>
      <c r="C30" s="71"/>
      <c r="D30" s="71"/>
      <c r="E30" s="71"/>
      <c r="F30" s="71"/>
      <c r="G30" s="71"/>
      <c r="H30" s="71"/>
    </row>
    <row r="31" spans="1:8" ht="40" customHeight="1" x14ac:dyDescent="0.2">
      <c r="A31" s="71"/>
      <c r="B31" s="71"/>
      <c r="C31" s="71"/>
      <c r="D31" s="71"/>
      <c r="E31" s="71"/>
      <c r="F31" s="71"/>
      <c r="G31" s="71"/>
      <c r="H31" s="71"/>
    </row>
    <row r="32" spans="1:8" ht="40" customHeight="1" x14ac:dyDescent="0.2">
      <c r="A32" s="71"/>
      <c r="B32" s="71"/>
      <c r="C32" s="71"/>
      <c r="D32" s="71"/>
      <c r="E32" s="71"/>
      <c r="F32" s="71"/>
      <c r="G32" s="71"/>
      <c r="H32" s="71"/>
    </row>
    <row r="34" spans="1:8" x14ac:dyDescent="0.2">
      <c r="A34" s="72" t="s">
        <v>116</v>
      </c>
      <c r="B34" s="72"/>
      <c r="C34" s="72"/>
      <c r="D34" s="72"/>
      <c r="E34" s="72"/>
      <c r="F34" s="72"/>
      <c r="G34" s="72"/>
      <c r="H34" s="72"/>
    </row>
  </sheetData>
  <mergeCells count="19">
    <mergeCell ref="F25:H27"/>
    <mergeCell ref="A29:H32"/>
    <mergeCell ref="A34:H34"/>
    <mergeCell ref="G11:H12"/>
    <mergeCell ref="A14:H14"/>
    <mergeCell ref="A20:H21"/>
    <mergeCell ref="A23:H23"/>
    <mergeCell ref="F24:H24"/>
    <mergeCell ref="A11:B12"/>
    <mergeCell ref="C10:D10"/>
    <mergeCell ref="C11:D12"/>
    <mergeCell ref="E10:F10"/>
    <mergeCell ref="E11:F12"/>
    <mergeCell ref="A1:H2"/>
    <mergeCell ref="A3:H3"/>
    <mergeCell ref="A5:H7"/>
    <mergeCell ref="A9:H9"/>
    <mergeCell ref="A10:B10"/>
    <mergeCell ref="G10:H1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
  <sheetViews>
    <sheetView workbookViewId="0"/>
  </sheetViews>
  <sheetFormatPr baseColWidth="10" defaultRowHeight="16" x14ac:dyDescent="0.2"/>
  <cols>
    <col min="1" max="1" width="16" customWidth="1"/>
    <col min="2" max="2" width="14" customWidth="1"/>
    <col min="3" max="3" width="22" customWidth="1"/>
    <col min="4" max="4" width="14" customWidth="1"/>
    <col min="5" max="5" width="12" customWidth="1"/>
    <col min="6" max="6" width="16" customWidth="1"/>
    <col min="7" max="7" width="23" customWidth="1"/>
    <col min="8" max="8" width="22" customWidth="1"/>
    <col min="9" max="9" width="20" customWidth="1"/>
    <col min="10" max="10" width="18" customWidth="1"/>
    <col min="11" max="12" width="21" customWidth="1"/>
  </cols>
  <sheetData>
    <row r="1" spans="1:12" ht="50.75" customHeight="1" x14ac:dyDescent="0.2">
      <c r="A1" s="2" t="s">
        <v>0</v>
      </c>
      <c r="B1" s="2" t="s">
        <v>1</v>
      </c>
      <c r="C1" s="2" t="s">
        <v>2</v>
      </c>
      <c r="D1" s="2" t="s">
        <v>3</v>
      </c>
      <c r="E1" s="2" t="s">
        <v>4</v>
      </c>
      <c r="F1" s="2" t="s">
        <v>5</v>
      </c>
      <c r="G1" s="2" t="s">
        <v>6</v>
      </c>
      <c r="H1" s="2" t="s">
        <v>7</v>
      </c>
      <c r="I1" s="2" t="s">
        <v>8</v>
      </c>
      <c r="J1" s="2" t="s">
        <v>9</v>
      </c>
      <c r="K1" s="2" t="s">
        <v>10</v>
      </c>
      <c r="L1" s="2" t="s">
        <v>11</v>
      </c>
    </row>
    <row r="2" spans="1:12" x14ac:dyDescent="0.2">
      <c r="A2" s="3">
        <v>3684</v>
      </c>
      <c r="B2" s="4">
        <v>9945</v>
      </c>
      <c r="C2" s="4">
        <v>1841</v>
      </c>
      <c r="D2" s="4">
        <v>1863</v>
      </c>
      <c r="E2" s="4">
        <v>555</v>
      </c>
      <c r="F2" s="33">
        <v>21087.86</v>
      </c>
      <c r="G2" s="5">
        <v>0.499728555917481</v>
      </c>
      <c r="H2" s="5">
        <v>0.187330316742081</v>
      </c>
      <c r="I2" s="5">
        <v>0.297906602254428</v>
      </c>
      <c r="J2" s="33">
        <v>11.319302200751499</v>
      </c>
      <c r="K2" s="33">
        <v>5.7241748099891403</v>
      </c>
      <c r="L2" s="6">
        <v>15.065146579804599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5"/>
  <sheetViews>
    <sheetView topLeftCell="F11" zoomScale="90" zoomScaleNormal="100" workbookViewId="0">
      <selection activeCell="G38" sqref="G38"/>
    </sheetView>
  </sheetViews>
  <sheetFormatPr baseColWidth="10" defaultRowHeight="16" x14ac:dyDescent="0.2"/>
  <cols>
    <col min="1" max="1" width="12" customWidth="1"/>
    <col min="2" max="3" width="10" customWidth="1"/>
    <col min="4" max="4" width="18" customWidth="1"/>
    <col min="5" max="5" width="10" customWidth="1"/>
    <col min="6" max="6" width="18" customWidth="1"/>
    <col min="7" max="7" width="14" customWidth="1"/>
    <col min="8" max="10" width="17" customWidth="1"/>
    <col min="11" max="11" width="12" customWidth="1"/>
    <col min="12" max="12" width="16" customWidth="1"/>
    <col min="13" max="13" width="15" customWidth="1"/>
    <col min="14" max="14" width="19" customWidth="1"/>
  </cols>
  <sheetData>
    <row r="1" spans="1:17" ht="45.25" customHeight="1" x14ac:dyDescent="0.2">
      <c r="A1" s="2" t="s">
        <v>12</v>
      </c>
      <c r="B1" s="2" t="s">
        <v>13</v>
      </c>
      <c r="C1" s="2" t="s">
        <v>14</v>
      </c>
      <c r="D1" s="2" t="s">
        <v>15</v>
      </c>
      <c r="E1" s="2" t="s">
        <v>16</v>
      </c>
      <c r="F1" s="2" t="s">
        <v>8</v>
      </c>
      <c r="G1" s="2" t="s">
        <v>17</v>
      </c>
      <c r="H1" s="2" t="s">
        <v>9</v>
      </c>
      <c r="I1" s="2" t="s">
        <v>18</v>
      </c>
      <c r="J1" s="2" t="s">
        <v>19</v>
      </c>
      <c r="K1" s="2" t="s">
        <v>20</v>
      </c>
      <c r="L1" s="2" t="s">
        <v>21</v>
      </c>
      <c r="M1" s="2" t="s">
        <v>22</v>
      </c>
      <c r="N1" s="2" t="s">
        <v>23</v>
      </c>
      <c r="P1" t="s">
        <v>157</v>
      </c>
      <c r="Q1" t="s">
        <v>157</v>
      </c>
    </row>
    <row r="2" spans="1:17" x14ac:dyDescent="0.2">
      <c r="A2" s="9" t="s">
        <v>24</v>
      </c>
      <c r="B2" s="10">
        <v>1596</v>
      </c>
      <c r="C2" s="10">
        <v>398</v>
      </c>
      <c r="D2" s="11">
        <v>0.24937343358396</v>
      </c>
      <c r="E2" s="10">
        <v>63</v>
      </c>
      <c r="F2" s="11">
        <v>0.15829145728643201</v>
      </c>
      <c r="G2" s="31">
        <v>2772</v>
      </c>
      <c r="H2" s="31">
        <v>6.9648241206030201</v>
      </c>
      <c r="I2" s="31">
        <v>1.73684210526316</v>
      </c>
      <c r="J2" s="31">
        <v>44</v>
      </c>
      <c r="K2" s="12">
        <v>29.900000000000901</v>
      </c>
      <c r="L2" s="12">
        <v>94.116541353383496</v>
      </c>
      <c r="M2" s="13">
        <v>1.7055137844611501</v>
      </c>
      <c r="N2" s="13">
        <v>1.9141604010025099</v>
      </c>
      <c r="P2">
        <v>0</v>
      </c>
      <c r="Q2">
        <f>'2. Panel Baseline'!J2</f>
        <v>11.319302200751499</v>
      </c>
    </row>
    <row r="3" spans="1:17" x14ac:dyDescent="0.2">
      <c r="A3" s="14" t="s">
        <v>25</v>
      </c>
      <c r="B3" s="15">
        <v>1600</v>
      </c>
      <c r="C3" s="15">
        <v>281</v>
      </c>
      <c r="D3" s="16">
        <v>0.175625</v>
      </c>
      <c r="E3" s="15">
        <v>89</v>
      </c>
      <c r="F3" s="16">
        <v>0.31672597864768698</v>
      </c>
      <c r="G3" s="32">
        <v>3916</v>
      </c>
      <c r="H3" s="32">
        <v>13.9359430604982</v>
      </c>
      <c r="I3" s="32">
        <v>2.4474999999999998</v>
      </c>
      <c r="J3" s="32">
        <v>44</v>
      </c>
      <c r="K3" s="17">
        <v>32.900000000000901</v>
      </c>
      <c r="L3" s="17">
        <v>93.087500000000006</v>
      </c>
      <c r="M3" s="18">
        <v>2.5274999999999999</v>
      </c>
      <c r="N3" s="18">
        <v>1.8631249999999999</v>
      </c>
      <c r="P3" s="39">
        <f>MAX(C2:C35)</f>
        <v>398</v>
      </c>
      <c r="Q3" s="39">
        <f>'2. Panel Baseline'!J2</f>
        <v>11.319302200751499</v>
      </c>
    </row>
    <row r="4" spans="1:17" x14ac:dyDescent="0.2">
      <c r="A4" s="1" t="s">
        <v>26</v>
      </c>
      <c r="B4" s="4">
        <v>487</v>
      </c>
      <c r="C4" s="4">
        <v>185</v>
      </c>
      <c r="D4" s="5">
        <v>0.37987679671457902</v>
      </c>
      <c r="E4" s="4">
        <v>65</v>
      </c>
      <c r="F4" s="5">
        <v>0.35135135135135098</v>
      </c>
      <c r="G4" s="33">
        <v>2210</v>
      </c>
      <c r="H4" s="33">
        <v>11.945945945945899</v>
      </c>
      <c r="I4" s="33">
        <v>4.5379876796714598</v>
      </c>
      <c r="J4" s="33">
        <v>34</v>
      </c>
      <c r="K4" s="6">
        <v>29.8999999999998</v>
      </c>
      <c r="L4" s="6">
        <v>100</v>
      </c>
      <c r="M4" s="8">
        <v>1.66735112936345</v>
      </c>
      <c r="N4" s="8">
        <v>1</v>
      </c>
    </row>
    <row r="5" spans="1:17" x14ac:dyDescent="0.2">
      <c r="A5" s="1" t="s">
        <v>27</v>
      </c>
      <c r="B5" s="4">
        <v>445</v>
      </c>
      <c r="C5" s="4">
        <v>122</v>
      </c>
      <c r="D5" s="5">
        <v>0.27415730337078698</v>
      </c>
      <c r="E5" s="4">
        <v>43</v>
      </c>
      <c r="F5" s="5">
        <v>0.35245901639344301</v>
      </c>
      <c r="G5" s="33">
        <v>1462</v>
      </c>
      <c r="H5" s="33">
        <v>11.983606557377099</v>
      </c>
      <c r="I5" s="33">
        <v>3.2853932584269701</v>
      </c>
      <c r="J5" s="33">
        <v>34</v>
      </c>
      <c r="K5" s="6">
        <v>33.8999999999998</v>
      </c>
      <c r="L5" s="6">
        <v>100</v>
      </c>
      <c r="M5" s="8">
        <v>3.0651685393258399</v>
      </c>
      <c r="N5" s="8">
        <v>1</v>
      </c>
    </row>
    <row r="6" spans="1:17" x14ac:dyDescent="0.2">
      <c r="A6" s="1" t="s">
        <v>28</v>
      </c>
      <c r="B6" s="4">
        <v>300</v>
      </c>
      <c r="C6" s="4">
        <v>92</v>
      </c>
      <c r="D6" s="5">
        <v>0.30666666666666698</v>
      </c>
      <c r="E6" s="4">
        <v>30</v>
      </c>
      <c r="F6" s="5">
        <v>0.32608695652173902</v>
      </c>
      <c r="G6" s="33">
        <v>1050</v>
      </c>
      <c r="H6" s="33">
        <v>11.413043478260899</v>
      </c>
      <c r="I6" s="33">
        <v>3.5</v>
      </c>
      <c r="J6" s="33">
        <v>35</v>
      </c>
      <c r="K6" s="6">
        <v>34.700000000000102</v>
      </c>
      <c r="L6" s="6">
        <v>100</v>
      </c>
      <c r="M6" s="8">
        <v>2.2533333333333299</v>
      </c>
      <c r="N6" s="8">
        <v>1</v>
      </c>
    </row>
    <row r="7" spans="1:17" x14ac:dyDescent="0.2">
      <c r="A7" s="1" t="s">
        <v>29</v>
      </c>
      <c r="B7" s="4">
        <v>218</v>
      </c>
      <c r="C7" s="4">
        <v>84</v>
      </c>
      <c r="D7" s="5">
        <v>0.38532110091743099</v>
      </c>
      <c r="E7" s="4">
        <v>30</v>
      </c>
      <c r="F7" s="5">
        <v>0.35714285714285698</v>
      </c>
      <c r="G7" s="33">
        <v>1020</v>
      </c>
      <c r="H7" s="33">
        <v>12.1428571428571</v>
      </c>
      <c r="I7" s="33">
        <v>4.6788990825688099</v>
      </c>
      <c r="J7" s="33">
        <v>34</v>
      </c>
      <c r="K7" s="6">
        <v>34.699999999999903</v>
      </c>
      <c r="L7" s="6">
        <v>100</v>
      </c>
      <c r="M7" s="8">
        <v>1.9724770642201801</v>
      </c>
      <c r="N7" s="8">
        <v>1</v>
      </c>
    </row>
    <row r="8" spans="1:17" x14ac:dyDescent="0.2">
      <c r="A8" s="14" t="s">
        <v>30</v>
      </c>
      <c r="B8" s="15">
        <v>1458</v>
      </c>
      <c r="C8" s="15">
        <v>80</v>
      </c>
      <c r="D8" s="16">
        <v>5.4869684499314099E-2</v>
      </c>
      <c r="E8" s="15">
        <v>21</v>
      </c>
      <c r="F8" s="16">
        <v>0.26250000000000001</v>
      </c>
      <c r="G8" s="32">
        <v>924</v>
      </c>
      <c r="H8" s="32">
        <v>11.55</v>
      </c>
      <c r="I8" s="32">
        <v>0.63374485596707797</v>
      </c>
      <c r="J8" s="32">
        <v>44</v>
      </c>
      <c r="K8" s="17">
        <v>32.900000000000901</v>
      </c>
      <c r="L8" s="17">
        <v>92.880658436214006</v>
      </c>
      <c r="M8" s="18">
        <v>2.7085048010973898</v>
      </c>
      <c r="N8" s="18">
        <v>2.1659807956104302</v>
      </c>
    </row>
    <row r="9" spans="1:17" x14ac:dyDescent="0.2">
      <c r="A9" s="1" t="s">
        <v>31</v>
      </c>
      <c r="B9" s="4">
        <v>183</v>
      </c>
      <c r="C9" s="4">
        <v>76</v>
      </c>
      <c r="D9" s="5">
        <v>0.415300546448087</v>
      </c>
      <c r="E9" s="4">
        <v>25</v>
      </c>
      <c r="F9" s="5">
        <v>0.32894736842105299</v>
      </c>
      <c r="G9" s="33">
        <v>875</v>
      </c>
      <c r="H9" s="33">
        <v>11.5131578947368</v>
      </c>
      <c r="I9" s="33">
        <v>4.7814207650273204</v>
      </c>
      <c r="J9" s="33">
        <v>35</v>
      </c>
      <c r="K9" s="6">
        <v>39.899999999999899</v>
      </c>
      <c r="L9" s="6">
        <v>100</v>
      </c>
      <c r="M9" s="8">
        <v>1.7158469945355199</v>
      </c>
      <c r="N9" s="8">
        <v>1</v>
      </c>
    </row>
    <row r="10" spans="1:17" x14ac:dyDescent="0.2">
      <c r="A10" s="1" t="s">
        <v>32</v>
      </c>
      <c r="B10" s="4">
        <v>269</v>
      </c>
      <c r="C10" s="4">
        <v>75</v>
      </c>
      <c r="D10" s="5">
        <v>0.27881040892193298</v>
      </c>
      <c r="E10" s="4">
        <v>33</v>
      </c>
      <c r="F10" s="5">
        <v>0.44</v>
      </c>
      <c r="G10" s="33">
        <v>1485</v>
      </c>
      <c r="H10" s="33">
        <v>19.8</v>
      </c>
      <c r="I10" s="33">
        <v>5.5204460966542799</v>
      </c>
      <c r="J10" s="33">
        <v>45</v>
      </c>
      <c r="K10" s="6">
        <v>34</v>
      </c>
      <c r="L10" s="6">
        <v>100</v>
      </c>
      <c r="M10" s="8">
        <v>3.5501858736059502</v>
      </c>
      <c r="N10" s="8">
        <v>1</v>
      </c>
    </row>
    <row r="11" spans="1:17" x14ac:dyDescent="0.2">
      <c r="A11" s="1" t="s">
        <v>33</v>
      </c>
      <c r="B11" s="4">
        <v>229</v>
      </c>
      <c r="C11" s="4">
        <v>65</v>
      </c>
      <c r="D11" s="5">
        <v>0.28384279475982499</v>
      </c>
      <c r="E11" s="4">
        <v>31</v>
      </c>
      <c r="F11" s="5">
        <v>0.47692307692307701</v>
      </c>
      <c r="G11" s="33">
        <v>1085</v>
      </c>
      <c r="H11" s="33">
        <v>16.692307692307701</v>
      </c>
      <c r="I11" s="33">
        <v>4.7379912663755501</v>
      </c>
      <c r="J11" s="33">
        <v>35</v>
      </c>
      <c r="K11" s="6">
        <v>29.3000000000001</v>
      </c>
      <c r="L11" s="6">
        <v>99.956331877729298</v>
      </c>
      <c r="M11" s="8">
        <v>2.0786026200873402</v>
      </c>
      <c r="N11" s="8">
        <v>1.01310043668122</v>
      </c>
    </row>
    <row r="12" spans="1:17" x14ac:dyDescent="0.2">
      <c r="A12" s="1" t="s">
        <v>34</v>
      </c>
      <c r="B12" s="4">
        <v>301</v>
      </c>
      <c r="C12" s="4">
        <v>63</v>
      </c>
      <c r="D12" s="5">
        <v>0.209302325581395</v>
      </c>
      <c r="E12" s="4">
        <v>21</v>
      </c>
      <c r="F12" s="5">
        <v>0.33333333333333298</v>
      </c>
      <c r="G12" s="33">
        <v>735</v>
      </c>
      <c r="H12" s="33">
        <v>11.6666666666667</v>
      </c>
      <c r="I12" s="33">
        <v>2.4418604651162799</v>
      </c>
      <c r="J12" s="33">
        <v>35</v>
      </c>
      <c r="K12" s="6">
        <v>33.8999999999998</v>
      </c>
      <c r="L12" s="6">
        <v>100</v>
      </c>
      <c r="M12" s="8">
        <v>3.3953488372092999</v>
      </c>
      <c r="N12" s="8">
        <v>1</v>
      </c>
    </row>
    <row r="13" spans="1:17" x14ac:dyDescent="0.2">
      <c r="A13" s="1" t="s">
        <v>35</v>
      </c>
      <c r="B13" s="4">
        <v>428</v>
      </c>
      <c r="C13" s="4">
        <v>62</v>
      </c>
      <c r="D13" s="5">
        <v>0.144859813084112</v>
      </c>
      <c r="E13" s="4">
        <v>15</v>
      </c>
      <c r="F13" s="5">
        <v>0.241935483870968</v>
      </c>
      <c r="G13" s="33">
        <v>525</v>
      </c>
      <c r="H13" s="33">
        <v>8.4677419354838701</v>
      </c>
      <c r="I13" s="33">
        <v>1.22663551401869</v>
      </c>
      <c r="J13" s="33">
        <v>35</v>
      </c>
      <c r="K13" s="6">
        <v>59.900000000000396</v>
      </c>
      <c r="L13" s="6">
        <v>99.988317757009298</v>
      </c>
      <c r="M13" s="8">
        <v>3.3504672897196301</v>
      </c>
      <c r="N13" s="8">
        <v>1.0023364485981301</v>
      </c>
    </row>
    <row r="14" spans="1:17" x14ac:dyDescent="0.2">
      <c r="A14" s="1" t="s">
        <v>36</v>
      </c>
      <c r="B14" s="4">
        <v>224</v>
      </c>
      <c r="C14" s="4">
        <v>61</v>
      </c>
      <c r="D14" s="5">
        <v>0.27232142857142899</v>
      </c>
      <c r="E14" s="4">
        <v>22</v>
      </c>
      <c r="F14" s="5">
        <v>0.36065573770491799</v>
      </c>
      <c r="G14" s="33">
        <v>990</v>
      </c>
      <c r="H14" s="33">
        <v>16.229508196721302</v>
      </c>
      <c r="I14" s="33">
        <v>4.4196428571428603</v>
      </c>
      <c r="J14" s="33">
        <v>45</v>
      </c>
      <c r="K14" s="6">
        <v>49</v>
      </c>
      <c r="L14" s="6">
        <v>100</v>
      </c>
      <c r="M14" s="8">
        <v>2.3348214285714302</v>
      </c>
      <c r="N14" s="8">
        <v>1</v>
      </c>
    </row>
    <row r="15" spans="1:17" x14ac:dyDescent="0.2">
      <c r="A15" s="1" t="s">
        <v>37</v>
      </c>
      <c r="B15" s="4">
        <v>239</v>
      </c>
      <c r="C15" s="4">
        <v>49</v>
      </c>
      <c r="D15" s="5">
        <v>0.205020920502092</v>
      </c>
      <c r="E15" s="4">
        <v>23</v>
      </c>
      <c r="F15" s="5">
        <v>0.469387755102041</v>
      </c>
      <c r="G15" s="33">
        <v>644</v>
      </c>
      <c r="H15" s="33">
        <v>13.1428571428571</v>
      </c>
      <c r="I15" s="33">
        <v>2.6945606694560702</v>
      </c>
      <c r="J15" s="33">
        <v>28</v>
      </c>
      <c r="K15" s="6">
        <v>39.8999999999998</v>
      </c>
      <c r="L15" s="6">
        <v>100</v>
      </c>
      <c r="M15" s="8">
        <v>3.5146443514644399</v>
      </c>
      <c r="N15" s="8">
        <v>1</v>
      </c>
    </row>
    <row r="16" spans="1:17" x14ac:dyDescent="0.2">
      <c r="A16" s="1" t="s">
        <v>38</v>
      </c>
      <c r="B16" s="4">
        <v>68</v>
      </c>
      <c r="C16" s="4">
        <v>29</v>
      </c>
      <c r="D16" s="5">
        <v>0.42647058823529399</v>
      </c>
      <c r="E16" s="4">
        <v>11</v>
      </c>
      <c r="F16" s="5">
        <v>0.37931034482758602</v>
      </c>
      <c r="G16" s="33">
        <v>374</v>
      </c>
      <c r="H16" s="33">
        <v>12.8965517241379</v>
      </c>
      <c r="I16" s="33">
        <v>5.5</v>
      </c>
      <c r="J16" s="33">
        <v>34</v>
      </c>
      <c r="K16" s="6">
        <v>34.9</v>
      </c>
      <c r="L16" s="6">
        <v>100</v>
      </c>
      <c r="M16" s="8">
        <v>2.0147058823529398</v>
      </c>
      <c r="N16" s="8">
        <v>1</v>
      </c>
    </row>
    <row r="17" spans="1:14" x14ac:dyDescent="0.2">
      <c r="A17" s="1" t="s">
        <v>39</v>
      </c>
      <c r="B17" s="4">
        <v>213</v>
      </c>
      <c r="C17" s="4">
        <v>24</v>
      </c>
      <c r="D17" s="5">
        <v>0.11267605633802801</v>
      </c>
      <c r="E17" s="4">
        <v>11</v>
      </c>
      <c r="F17" s="5">
        <v>0.45833333333333298</v>
      </c>
      <c r="G17" s="33">
        <v>352</v>
      </c>
      <c r="H17" s="33">
        <v>14.6666666666667</v>
      </c>
      <c r="I17" s="33">
        <v>1.6525821596244099</v>
      </c>
      <c r="J17" s="33">
        <v>32</v>
      </c>
      <c r="K17" s="6">
        <v>29.3000000000001</v>
      </c>
      <c r="L17" s="6">
        <v>100</v>
      </c>
      <c r="M17" s="8">
        <v>2.1502347417840402</v>
      </c>
      <c r="N17" s="8">
        <v>1</v>
      </c>
    </row>
    <row r="18" spans="1:14" x14ac:dyDescent="0.2">
      <c r="A18" s="1" t="s">
        <v>40</v>
      </c>
      <c r="B18" s="4">
        <v>109</v>
      </c>
      <c r="C18" s="4">
        <v>19</v>
      </c>
      <c r="D18" s="5">
        <v>0.17431192660550501</v>
      </c>
      <c r="E18" s="4">
        <v>0</v>
      </c>
      <c r="F18" s="5">
        <v>0</v>
      </c>
      <c r="G18" s="33">
        <v>0</v>
      </c>
      <c r="H18" s="33">
        <v>0</v>
      </c>
      <c r="I18" s="33">
        <v>0</v>
      </c>
      <c r="J18" s="34"/>
      <c r="K18" s="6">
        <v>12.9</v>
      </c>
      <c r="L18" s="6">
        <v>77.798165137614703</v>
      </c>
      <c r="M18" s="8">
        <v>1</v>
      </c>
      <c r="N18" s="8">
        <v>3.6788990825688099</v>
      </c>
    </row>
    <row r="19" spans="1:14" x14ac:dyDescent="0.2">
      <c r="A19" s="1" t="s">
        <v>41</v>
      </c>
      <c r="B19" s="4">
        <v>71</v>
      </c>
      <c r="C19" s="4">
        <v>17</v>
      </c>
      <c r="D19" s="5">
        <v>0.23943661971831001</v>
      </c>
      <c r="E19" s="4">
        <v>3</v>
      </c>
      <c r="F19" s="5">
        <v>0.17647058823529399</v>
      </c>
      <c r="G19" s="33">
        <v>105</v>
      </c>
      <c r="H19" s="33">
        <v>6.1764705882352997</v>
      </c>
      <c r="I19" s="33">
        <v>1.47887323943662</v>
      </c>
      <c r="J19" s="33">
        <v>35</v>
      </c>
      <c r="K19" s="6">
        <v>21.9</v>
      </c>
      <c r="L19" s="6">
        <v>90</v>
      </c>
      <c r="M19" s="8">
        <v>1.1830985915493</v>
      </c>
      <c r="N19" s="8">
        <v>4.1971830985915499</v>
      </c>
    </row>
    <row r="20" spans="1:14" x14ac:dyDescent="0.2">
      <c r="A20" s="1" t="s">
        <v>42</v>
      </c>
      <c r="B20" s="4">
        <v>168</v>
      </c>
      <c r="C20" s="4">
        <v>14</v>
      </c>
      <c r="D20" s="5">
        <v>8.3333333333333301E-2</v>
      </c>
      <c r="E20" s="4">
        <v>1</v>
      </c>
      <c r="F20" s="5">
        <v>7.1428571428571397E-2</v>
      </c>
      <c r="G20" s="33">
        <v>35</v>
      </c>
      <c r="H20" s="33">
        <v>2.5</v>
      </c>
      <c r="I20" s="33">
        <v>0.20833333333333301</v>
      </c>
      <c r="J20" s="33">
        <v>35</v>
      </c>
      <c r="K20" s="6">
        <v>21.900000000000102</v>
      </c>
      <c r="L20" s="6">
        <v>62.0833333333333</v>
      </c>
      <c r="M20" s="8">
        <v>1.4226190476190499</v>
      </c>
      <c r="N20" s="8">
        <v>5.8630952380952399</v>
      </c>
    </row>
    <row r="21" spans="1:14" x14ac:dyDescent="0.2">
      <c r="A21" s="1" t="s">
        <v>43</v>
      </c>
      <c r="B21" s="4">
        <v>145</v>
      </c>
      <c r="C21" s="4">
        <v>13</v>
      </c>
      <c r="D21" s="5">
        <v>8.9655172413793102E-2</v>
      </c>
      <c r="E21" s="4">
        <v>2</v>
      </c>
      <c r="F21" s="5">
        <v>0.15384615384615399</v>
      </c>
      <c r="G21" s="33">
        <v>40</v>
      </c>
      <c r="H21" s="33">
        <v>3.0769230769230802</v>
      </c>
      <c r="I21" s="33">
        <v>0.27586206896551702</v>
      </c>
      <c r="J21" s="33">
        <v>20</v>
      </c>
      <c r="K21" s="6">
        <v>24.6999999999999</v>
      </c>
      <c r="L21" s="6">
        <v>82.344827586206904</v>
      </c>
      <c r="M21" s="8">
        <v>4.9586206896551701</v>
      </c>
      <c r="N21" s="8">
        <v>3.4896551724137899</v>
      </c>
    </row>
    <row r="22" spans="1:14" x14ac:dyDescent="0.2">
      <c r="A22" s="1" t="s">
        <v>44</v>
      </c>
      <c r="B22" s="4">
        <v>147</v>
      </c>
      <c r="C22" s="4">
        <v>9</v>
      </c>
      <c r="D22" s="5">
        <v>6.1224489795918401E-2</v>
      </c>
      <c r="E22" s="4">
        <v>3</v>
      </c>
      <c r="F22" s="5">
        <v>0.33333333333333298</v>
      </c>
      <c r="G22" s="33">
        <v>70.02</v>
      </c>
      <c r="H22" s="33">
        <v>7.78</v>
      </c>
      <c r="I22" s="33">
        <v>0.476326530612245</v>
      </c>
      <c r="J22" s="33">
        <v>23.34</v>
      </c>
      <c r="K22" s="6">
        <v>21.900000000000102</v>
      </c>
      <c r="L22" s="6">
        <v>80.850340136054399</v>
      </c>
      <c r="M22" s="8">
        <v>1.40816326530612</v>
      </c>
      <c r="N22" s="8">
        <v>3.6258503401360498</v>
      </c>
    </row>
    <row r="23" spans="1:14" x14ac:dyDescent="0.2">
      <c r="A23" s="1" t="s">
        <v>45</v>
      </c>
      <c r="B23" s="4">
        <v>45</v>
      </c>
      <c r="C23" s="4">
        <v>8</v>
      </c>
      <c r="D23" s="5">
        <v>0.17777777777777801</v>
      </c>
      <c r="E23" s="4">
        <v>3</v>
      </c>
      <c r="F23" s="5">
        <v>0.375</v>
      </c>
      <c r="G23" s="33">
        <v>105</v>
      </c>
      <c r="H23" s="33">
        <v>13.125</v>
      </c>
      <c r="I23" s="33">
        <v>2.3333333333333299</v>
      </c>
      <c r="J23" s="33">
        <v>35</v>
      </c>
      <c r="K23" s="6">
        <v>29.3</v>
      </c>
      <c r="L23" s="6">
        <v>100</v>
      </c>
      <c r="M23" s="8">
        <v>2.5555555555555598</v>
      </c>
      <c r="N23" s="8">
        <v>1</v>
      </c>
    </row>
    <row r="24" spans="1:14" x14ac:dyDescent="0.2">
      <c r="A24" s="1" t="s">
        <v>46</v>
      </c>
      <c r="B24" s="4">
        <v>129</v>
      </c>
      <c r="C24" s="4">
        <v>7</v>
      </c>
      <c r="D24" s="5">
        <v>5.4263565891472902E-2</v>
      </c>
      <c r="E24" s="4">
        <v>3</v>
      </c>
      <c r="F24" s="5">
        <v>0.42857142857142899</v>
      </c>
      <c r="G24" s="33">
        <v>105</v>
      </c>
      <c r="H24" s="33">
        <v>15</v>
      </c>
      <c r="I24" s="33">
        <v>0.81395348837209303</v>
      </c>
      <c r="J24" s="33">
        <v>35</v>
      </c>
      <c r="K24" s="6">
        <v>39.9</v>
      </c>
      <c r="L24" s="6">
        <v>100</v>
      </c>
      <c r="M24" s="8">
        <v>3.7906976744185998</v>
      </c>
      <c r="N24" s="8">
        <v>1</v>
      </c>
    </row>
    <row r="25" spans="1:14" x14ac:dyDescent="0.2">
      <c r="A25" s="1" t="s">
        <v>47</v>
      </c>
      <c r="B25" s="4">
        <v>109</v>
      </c>
      <c r="C25" s="4">
        <v>6</v>
      </c>
      <c r="D25" s="5">
        <v>5.5045871559633003E-2</v>
      </c>
      <c r="E25" s="4">
        <v>0</v>
      </c>
      <c r="F25" s="5">
        <v>0</v>
      </c>
      <c r="G25" s="33">
        <v>0</v>
      </c>
      <c r="H25" s="33">
        <v>0</v>
      </c>
      <c r="I25" s="33">
        <v>0</v>
      </c>
      <c r="J25" s="34"/>
      <c r="K25" s="6">
        <v>21.9</v>
      </c>
      <c r="L25" s="6">
        <v>77.798165137614703</v>
      </c>
      <c r="M25" s="8">
        <v>2.0642201834862401</v>
      </c>
      <c r="N25" s="8">
        <v>3.6788990825688099</v>
      </c>
    </row>
    <row r="26" spans="1:14" x14ac:dyDescent="0.2">
      <c r="A26" s="1" t="s">
        <v>48</v>
      </c>
      <c r="B26" s="4">
        <v>168</v>
      </c>
      <c r="C26" s="4">
        <v>5</v>
      </c>
      <c r="D26" s="5">
        <v>2.9761904761904798E-2</v>
      </c>
      <c r="E26" s="4">
        <v>1</v>
      </c>
      <c r="F26" s="5">
        <v>0.2</v>
      </c>
      <c r="G26" s="33">
        <v>35</v>
      </c>
      <c r="H26" s="33">
        <v>7</v>
      </c>
      <c r="I26" s="33">
        <v>0.20833333333333301</v>
      </c>
      <c r="J26" s="33">
        <v>35</v>
      </c>
      <c r="K26" s="6">
        <v>22.900000000000102</v>
      </c>
      <c r="L26" s="6">
        <v>62.0833333333333</v>
      </c>
      <c r="M26" s="8">
        <v>3.875</v>
      </c>
      <c r="N26" s="8">
        <v>5.8630952380952399</v>
      </c>
    </row>
    <row r="27" spans="1:14" x14ac:dyDescent="0.2">
      <c r="A27" s="1" t="s">
        <v>49</v>
      </c>
      <c r="B27" s="4">
        <v>95</v>
      </c>
      <c r="C27" s="4">
        <v>5</v>
      </c>
      <c r="D27" s="5">
        <v>5.2631578947368397E-2</v>
      </c>
      <c r="E27" s="4">
        <v>1</v>
      </c>
      <c r="F27" s="5">
        <v>0.2</v>
      </c>
      <c r="G27" s="33">
        <v>27.5</v>
      </c>
      <c r="H27" s="33">
        <v>5.5</v>
      </c>
      <c r="I27" s="33">
        <v>0.28947368421052599</v>
      </c>
      <c r="J27" s="33">
        <v>27.5</v>
      </c>
      <c r="K27" s="6">
        <v>19.899999999999999</v>
      </c>
      <c r="L27" s="6">
        <v>90.473684210526301</v>
      </c>
      <c r="M27" s="8">
        <v>1.08421052631579</v>
      </c>
      <c r="N27" s="8">
        <v>5.6</v>
      </c>
    </row>
    <row r="28" spans="1:14" x14ac:dyDescent="0.2">
      <c r="A28" s="1" t="s">
        <v>50</v>
      </c>
      <c r="B28" s="4">
        <v>39</v>
      </c>
      <c r="C28" s="4">
        <v>5</v>
      </c>
      <c r="D28" s="5">
        <v>0.128205128205128</v>
      </c>
      <c r="E28" s="4">
        <v>2</v>
      </c>
      <c r="F28" s="5">
        <v>0.4</v>
      </c>
      <c r="G28" s="33">
        <v>68</v>
      </c>
      <c r="H28" s="33">
        <v>13.6</v>
      </c>
      <c r="I28" s="33">
        <v>1.7435897435897401</v>
      </c>
      <c r="J28" s="33">
        <v>34</v>
      </c>
      <c r="K28" s="6">
        <v>27.9</v>
      </c>
      <c r="L28" s="6">
        <v>100</v>
      </c>
      <c r="M28" s="8">
        <v>4.7435897435897401</v>
      </c>
      <c r="N28" s="8">
        <v>1</v>
      </c>
    </row>
    <row r="29" spans="1:14" x14ac:dyDescent="0.2">
      <c r="A29" s="1" t="s">
        <v>51</v>
      </c>
      <c r="B29" s="4">
        <v>109</v>
      </c>
      <c r="C29" s="4">
        <v>3</v>
      </c>
      <c r="D29" s="5">
        <v>2.7522935779816501E-2</v>
      </c>
      <c r="E29" s="4">
        <v>0</v>
      </c>
      <c r="F29" s="5">
        <v>0</v>
      </c>
      <c r="G29" s="33">
        <v>0</v>
      </c>
      <c r="H29" s="33">
        <v>0</v>
      </c>
      <c r="I29" s="33">
        <v>0</v>
      </c>
      <c r="J29" s="34"/>
      <c r="K29" s="6">
        <v>26.8</v>
      </c>
      <c r="L29" s="6">
        <v>77.798165137614703</v>
      </c>
      <c r="M29" s="8">
        <v>3.7614678899082601</v>
      </c>
      <c r="N29" s="8">
        <v>3.6788990825688099</v>
      </c>
    </row>
    <row r="30" spans="1:14" x14ac:dyDescent="0.2">
      <c r="A30" s="1" t="s">
        <v>52</v>
      </c>
      <c r="B30" s="4">
        <v>76</v>
      </c>
      <c r="C30" s="4">
        <v>2</v>
      </c>
      <c r="D30" s="5">
        <v>2.6315789473684199E-2</v>
      </c>
      <c r="E30" s="4">
        <v>1</v>
      </c>
      <c r="F30" s="5">
        <v>0.5</v>
      </c>
      <c r="G30" s="33">
        <v>27.5</v>
      </c>
      <c r="H30" s="33">
        <v>13.75</v>
      </c>
      <c r="I30" s="33">
        <v>0.36184210526315802</v>
      </c>
      <c r="J30" s="33">
        <v>27.5</v>
      </c>
      <c r="K30" s="6">
        <v>21.9</v>
      </c>
      <c r="L30" s="6">
        <v>87.302631578947398</v>
      </c>
      <c r="M30" s="8">
        <v>2.1052631578947398</v>
      </c>
      <c r="N30" s="8">
        <v>5.3947368421052602</v>
      </c>
    </row>
    <row r="31" spans="1:14" x14ac:dyDescent="0.2">
      <c r="A31" s="1" t="s">
        <v>53</v>
      </c>
      <c r="B31" s="4">
        <v>91</v>
      </c>
      <c r="C31" s="4">
        <v>2</v>
      </c>
      <c r="D31" s="5">
        <v>2.1978021978022001E-2</v>
      </c>
      <c r="E31" s="4">
        <v>1</v>
      </c>
      <c r="F31" s="5">
        <v>0.5</v>
      </c>
      <c r="G31" s="33">
        <v>27.5</v>
      </c>
      <c r="H31" s="33">
        <v>13.75</v>
      </c>
      <c r="I31" s="33">
        <v>0.30219780219780201</v>
      </c>
      <c r="J31" s="33">
        <v>27.5</v>
      </c>
      <c r="K31" s="6">
        <v>21.9</v>
      </c>
      <c r="L31" s="6">
        <v>84.285714285714306</v>
      </c>
      <c r="M31" s="8">
        <v>2.0879120879120898</v>
      </c>
      <c r="N31" s="8">
        <v>7.47252747252747</v>
      </c>
    </row>
    <row r="32" spans="1:14" x14ac:dyDescent="0.2">
      <c r="A32" s="1" t="s">
        <v>54</v>
      </c>
      <c r="B32" s="4">
        <v>147</v>
      </c>
      <c r="C32" s="4">
        <v>2</v>
      </c>
      <c r="D32" s="5">
        <v>1.3605442176870699E-2</v>
      </c>
      <c r="E32" s="4">
        <v>1</v>
      </c>
      <c r="F32" s="5">
        <v>0.5</v>
      </c>
      <c r="G32" s="33">
        <v>23.34</v>
      </c>
      <c r="H32" s="33">
        <v>11.67</v>
      </c>
      <c r="I32" s="33">
        <v>0.15877551020408201</v>
      </c>
      <c r="J32" s="33">
        <v>23.34</v>
      </c>
      <c r="K32" s="6">
        <v>21.900000000000102</v>
      </c>
      <c r="L32" s="6">
        <v>80.850340136054399</v>
      </c>
      <c r="M32" s="8">
        <v>1.40816326530612</v>
      </c>
      <c r="N32" s="8">
        <v>3.6258503401360498</v>
      </c>
    </row>
    <row r="33" spans="1:14" x14ac:dyDescent="0.2">
      <c r="A33" s="1" t="s">
        <v>55</v>
      </c>
      <c r="B33" s="4">
        <v>13</v>
      </c>
      <c r="C33" s="4">
        <v>0</v>
      </c>
      <c r="D33" s="5">
        <v>0</v>
      </c>
      <c r="E33" s="4">
        <v>0</v>
      </c>
      <c r="F33" s="7"/>
      <c r="G33" s="33">
        <v>0</v>
      </c>
      <c r="H33" s="34"/>
      <c r="I33" s="33">
        <v>0</v>
      </c>
      <c r="J33" s="34"/>
      <c r="K33" s="6">
        <v>26.8</v>
      </c>
      <c r="L33" s="6">
        <v>83.846153846153797</v>
      </c>
      <c r="M33" s="8">
        <v>4.3076923076923102</v>
      </c>
      <c r="N33" s="8">
        <v>4.3076923076923102</v>
      </c>
    </row>
    <row r="34" spans="1:14" x14ac:dyDescent="0.2">
      <c r="A34" s="1" t="s">
        <v>56</v>
      </c>
      <c r="B34" s="4">
        <v>13</v>
      </c>
      <c r="C34" s="4">
        <v>0</v>
      </c>
      <c r="D34" s="5">
        <v>0</v>
      </c>
      <c r="E34" s="4">
        <v>0</v>
      </c>
      <c r="F34" s="7"/>
      <c r="G34" s="33">
        <v>0</v>
      </c>
      <c r="H34" s="34"/>
      <c r="I34" s="33">
        <v>0</v>
      </c>
      <c r="J34" s="34"/>
      <c r="K34" s="6">
        <v>21.9</v>
      </c>
      <c r="L34" s="6">
        <v>83.846153846153797</v>
      </c>
      <c r="M34" s="8">
        <v>2.0769230769230802</v>
      </c>
      <c r="N34" s="8">
        <v>4.3076923076923102</v>
      </c>
    </row>
    <row r="35" spans="1:14" x14ac:dyDescent="0.2">
      <c r="A35" s="1" t="s">
        <v>57</v>
      </c>
      <c r="B35" s="4">
        <v>13</v>
      </c>
      <c r="C35" s="4">
        <v>0</v>
      </c>
      <c r="D35" s="5">
        <v>0</v>
      </c>
      <c r="E35" s="4">
        <v>0</v>
      </c>
      <c r="F35" s="7"/>
      <c r="G35" s="33">
        <v>0</v>
      </c>
      <c r="H35" s="34"/>
      <c r="I35" s="33">
        <v>0</v>
      </c>
      <c r="J35" s="34"/>
      <c r="K35" s="6">
        <v>12.9</v>
      </c>
      <c r="L35" s="6">
        <v>83.846153846153797</v>
      </c>
      <c r="M35" s="8">
        <v>1</v>
      </c>
      <c r="N35" s="8">
        <v>4.3076923076923102</v>
      </c>
    </row>
  </sheetData>
  <conditionalFormatting sqref="C2:C35">
    <cfRule type="dataBar" priority="1">
      <dataBar>
        <cfvo type="min"/>
        <cfvo type="max"/>
        <color rgb="FF6BAED6"/>
      </dataBar>
    </cfRule>
    <cfRule type="dataBar" priority="3">
      <dataBar>
        <cfvo type="min"/>
        <cfvo type="max"/>
        <color rgb="FF6BAED6"/>
      </dataBar>
      <extLst>
        <ext xmlns:x14="http://schemas.microsoft.com/office/spreadsheetml/2009/9/main" uri="{B025F937-C7B1-47D3-B67F-A62EFF666E3E}">
          <x14:id>{C19DEAE6-7636-016E-7271-275F170DFDA1}</x14:id>
        </ext>
      </extLst>
    </cfRule>
  </conditionalFormatting>
  <conditionalFormatting sqref="H2:H35">
    <cfRule type="dataBar" priority="2">
      <dataBar>
        <cfvo type="min"/>
        <cfvo type="max"/>
        <color rgb="FF74C69D"/>
      </dataBar>
    </cfRule>
    <cfRule type="dataBar" priority="4">
      <dataBar>
        <cfvo type="min"/>
        <cfvo type="max"/>
        <color rgb="FF74C69D"/>
      </dataBar>
      <extLst>
        <ext xmlns:x14="http://schemas.microsoft.com/office/spreadsheetml/2009/9/main" uri="{B025F937-C7B1-47D3-B67F-A62EFF666E3E}">
          <x14:id>{CA101021-F211-B9DF-5601-F5E4672FE996}</x14:id>
        </ext>
      </extLst>
    </cfRule>
  </conditionalFormatting>
  <pageMargins left="0.7" right="0.7" top="0.75" bottom="0.75" header="0.3" footer="0.3"/>
  <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C19DEAE6-7636-016E-7271-275F170DFDA1}">
            <x14:dataBar>
              <x14:cfvo type="min"/>
              <x14:cfvo type="max"/>
              <x14:negativeFillColor auto="1"/>
              <x14:axisColor auto="1"/>
            </x14:dataBar>
          </x14:cfRule>
          <xm:sqref>C2:C35</xm:sqref>
        </x14:conditionalFormatting>
        <x14:conditionalFormatting xmlns:xm="http://schemas.microsoft.com/office/excel/2006/main">
          <x14:cfRule type="dataBar" id="{CA101021-F211-B9DF-5601-F5E4672FE996}">
            <x14:dataBar>
              <x14:cfvo type="min"/>
              <x14:cfvo type="max"/>
              <x14:negativeFillColor auto="1"/>
              <x14:axisColor auto="1"/>
            </x14:dataBar>
          </x14:cfRule>
          <xm:sqref>H2:H35</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4"/>
  <sheetViews>
    <sheetView workbookViewId="0"/>
  </sheetViews>
  <sheetFormatPr baseColWidth="10" defaultRowHeight="16" x14ac:dyDescent="0.2"/>
  <cols>
    <col min="1" max="1" width="16" customWidth="1"/>
    <col min="2" max="2" width="20" customWidth="1"/>
    <col min="3" max="3" width="16" customWidth="1"/>
    <col min="4" max="4" width="18" customWidth="1"/>
    <col min="5" max="5" width="19" customWidth="1"/>
    <col min="6" max="6" width="20" customWidth="1"/>
    <col min="7" max="7" width="18" customWidth="1"/>
    <col min="8" max="8" width="21" customWidth="1"/>
    <col min="9" max="9" width="25" customWidth="1"/>
    <col min="10" max="10" width="21" customWidth="1"/>
  </cols>
  <sheetData>
    <row r="1" spans="1:10" ht="50.75" customHeight="1" x14ac:dyDescent="0.2">
      <c r="A1" s="2" t="s">
        <v>58</v>
      </c>
      <c r="B1" s="2" t="s">
        <v>59</v>
      </c>
      <c r="C1" s="2" t="s">
        <v>60</v>
      </c>
      <c r="D1" s="2" t="s">
        <v>61</v>
      </c>
      <c r="E1" s="2" t="s">
        <v>62</v>
      </c>
      <c r="F1" s="2" t="s">
        <v>63</v>
      </c>
      <c r="G1" s="2" t="s">
        <v>64</v>
      </c>
      <c r="H1" s="2" t="s">
        <v>65</v>
      </c>
      <c r="I1" s="2" t="s">
        <v>66</v>
      </c>
      <c r="J1" s="2" t="s">
        <v>67</v>
      </c>
    </row>
    <row r="2" spans="1:10" x14ac:dyDescent="0.2">
      <c r="A2" s="21" t="s">
        <v>30</v>
      </c>
      <c r="B2" s="22">
        <v>1278</v>
      </c>
      <c r="C2" s="22">
        <v>274</v>
      </c>
      <c r="D2" s="22">
        <v>57</v>
      </c>
      <c r="E2" s="23">
        <v>0.214397496087637</v>
      </c>
      <c r="F2" s="23">
        <v>4.4600938967136197E-2</v>
      </c>
      <c r="G2" s="24">
        <v>4.8070175438596499</v>
      </c>
      <c r="H2" s="23">
        <v>0.83881064162754304</v>
      </c>
      <c r="I2" s="23">
        <v>0.16118935837245699</v>
      </c>
      <c r="J2" s="23">
        <v>1</v>
      </c>
    </row>
    <row r="3" spans="1:10" x14ac:dyDescent="0.2">
      <c r="A3" s="21" t="s">
        <v>25</v>
      </c>
      <c r="B3" s="22">
        <v>1251</v>
      </c>
      <c r="C3" s="22">
        <v>266</v>
      </c>
      <c r="D3" s="22">
        <v>112</v>
      </c>
      <c r="E3" s="23">
        <v>0.21262989608313301</v>
      </c>
      <c r="F3" s="23">
        <v>8.9528377298161502E-2</v>
      </c>
      <c r="G3" s="24">
        <v>2.375</v>
      </c>
      <c r="H3" s="23">
        <v>0.97202238209432501</v>
      </c>
      <c r="I3" s="23">
        <v>2.79776179056755E-2</v>
      </c>
      <c r="J3" s="23">
        <v>1</v>
      </c>
    </row>
    <row r="4" spans="1:10" x14ac:dyDescent="0.2">
      <c r="A4" s="1" t="s">
        <v>27</v>
      </c>
      <c r="B4" s="4">
        <v>183</v>
      </c>
      <c r="C4" s="4">
        <v>13</v>
      </c>
      <c r="D4" s="4">
        <v>25</v>
      </c>
      <c r="E4" s="5">
        <v>7.10382513661202E-2</v>
      </c>
      <c r="F4" s="5">
        <v>0.13661202185792401</v>
      </c>
      <c r="G4" s="19">
        <v>0.52</v>
      </c>
      <c r="H4" s="5">
        <v>0</v>
      </c>
      <c r="I4" s="5">
        <v>0</v>
      </c>
      <c r="J4" s="5">
        <v>1</v>
      </c>
    </row>
    <row r="5" spans="1:10" x14ac:dyDescent="0.2">
      <c r="A5" s="1" t="s">
        <v>35</v>
      </c>
      <c r="B5" s="4">
        <v>173</v>
      </c>
      <c r="C5" s="4">
        <v>25</v>
      </c>
      <c r="D5" s="4">
        <v>10</v>
      </c>
      <c r="E5" s="5">
        <v>0.144508670520231</v>
      </c>
      <c r="F5" s="5">
        <v>5.7803468208092498E-2</v>
      </c>
      <c r="G5" s="19">
        <v>2.5</v>
      </c>
      <c r="H5" s="5">
        <v>5.78034682080925E-3</v>
      </c>
      <c r="I5" s="5">
        <v>0</v>
      </c>
      <c r="J5" s="5">
        <v>1</v>
      </c>
    </row>
    <row r="6" spans="1:10" x14ac:dyDescent="0.2">
      <c r="A6" s="1" t="s">
        <v>26</v>
      </c>
      <c r="B6" s="4">
        <v>170</v>
      </c>
      <c r="C6" s="4">
        <v>17</v>
      </c>
      <c r="D6" s="4">
        <v>43</v>
      </c>
      <c r="E6" s="5">
        <v>0.1</v>
      </c>
      <c r="F6" s="5">
        <v>0.252941176470588</v>
      </c>
      <c r="G6" s="19">
        <v>0.39534883720930197</v>
      </c>
      <c r="H6" s="5">
        <v>0</v>
      </c>
      <c r="I6" s="5">
        <v>0</v>
      </c>
      <c r="J6" s="5">
        <v>0</v>
      </c>
    </row>
    <row r="7" spans="1:10" x14ac:dyDescent="0.2">
      <c r="A7" s="1" t="s">
        <v>34</v>
      </c>
      <c r="B7" s="4">
        <v>125</v>
      </c>
      <c r="C7" s="4">
        <v>10</v>
      </c>
      <c r="D7" s="4">
        <v>14</v>
      </c>
      <c r="E7" s="5">
        <v>0.08</v>
      </c>
      <c r="F7" s="5">
        <v>0.112</v>
      </c>
      <c r="G7" s="19">
        <v>0.71428571428571397</v>
      </c>
      <c r="H7" s="5">
        <v>0</v>
      </c>
      <c r="I7" s="5">
        <v>0</v>
      </c>
      <c r="J7" s="5">
        <v>1</v>
      </c>
    </row>
    <row r="8" spans="1:10" x14ac:dyDescent="0.2">
      <c r="A8" s="1" t="s">
        <v>33</v>
      </c>
      <c r="B8" s="4">
        <v>120</v>
      </c>
      <c r="C8" s="4">
        <v>3</v>
      </c>
      <c r="D8" s="4">
        <v>25</v>
      </c>
      <c r="E8" s="5">
        <v>2.5000000000000001E-2</v>
      </c>
      <c r="F8" s="5">
        <v>0.20833333333333301</v>
      </c>
      <c r="G8" s="19">
        <v>0.12</v>
      </c>
      <c r="H8" s="5">
        <v>8.3333333333333297E-3</v>
      </c>
      <c r="I8" s="5">
        <v>0</v>
      </c>
      <c r="J8" s="5">
        <v>0</v>
      </c>
    </row>
    <row r="9" spans="1:10" x14ac:dyDescent="0.2">
      <c r="A9" s="1" t="s">
        <v>39</v>
      </c>
      <c r="B9" s="4">
        <v>119</v>
      </c>
      <c r="C9" s="4">
        <v>3</v>
      </c>
      <c r="D9" s="4">
        <v>13</v>
      </c>
      <c r="E9" s="5">
        <v>2.5210084033613401E-2</v>
      </c>
      <c r="F9" s="5">
        <v>0.109243697478992</v>
      </c>
      <c r="G9" s="19">
        <v>0.230769230769231</v>
      </c>
      <c r="H9" s="5">
        <v>0</v>
      </c>
      <c r="I9" s="5">
        <v>0</v>
      </c>
      <c r="J9" s="5">
        <v>0</v>
      </c>
    </row>
    <row r="10" spans="1:10" x14ac:dyDescent="0.2">
      <c r="A10" s="1" t="s">
        <v>32</v>
      </c>
      <c r="B10" s="4">
        <v>115</v>
      </c>
      <c r="C10" s="4">
        <v>8</v>
      </c>
      <c r="D10" s="4">
        <v>22</v>
      </c>
      <c r="E10" s="5">
        <v>6.9565217391304404E-2</v>
      </c>
      <c r="F10" s="5">
        <v>0.19130434782608699</v>
      </c>
      <c r="G10" s="19">
        <v>0.36363636363636398</v>
      </c>
      <c r="H10" s="5">
        <v>0</v>
      </c>
      <c r="I10" s="5">
        <v>0</v>
      </c>
      <c r="J10" s="5">
        <v>1</v>
      </c>
    </row>
    <row r="11" spans="1:10" x14ac:dyDescent="0.2">
      <c r="A11" s="1" t="s">
        <v>42</v>
      </c>
      <c r="B11" s="4">
        <v>105</v>
      </c>
      <c r="C11" s="4">
        <v>8</v>
      </c>
      <c r="D11" s="4">
        <v>6</v>
      </c>
      <c r="E11" s="5">
        <v>7.6190476190476197E-2</v>
      </c>
      <c r="F11" s="5">
        <v>5.7142857142857099E-2</v>
      </c>
      <c r="G11" s="19">
        <v>1.3333333333333299</v>
      </c>
      <c r="H11" s="5">
        <v>8.5714285714285701E-2</v>
      </c>
      <c r="I11" s="5">
        <v>0.91428571428571404</v>
      </c>
      <c r="J11" s="5">
        <v>0</v>
      </c>
    </row>
    <row r="12" spans="1:10" x14ac:dyDescent="0.2">
      <c r="A12" s="1" t="s">
        <v>48</v>
      </c>
      <c r="B12" s="4">
        <v>105</v>
      </c>
      <c r="C12" s="4">
        <v>8</v>
      </c>
      <c r="D12" s="4">
        <v>1</v>
      </c>
      <c r="E12" s="5">
        <v>7.6190476190476197E-2</v>
      </c>
      <c r="F12" s="5">
        <v>9.5238095238095299E-3</v>
      </c>
      <c r="G12" s="19">
        <v>8</v>
      </c>
      <c r="H12" s="5">
        <v>8.5714285714285701E-2</v>
      </c>
      <c r="I12" s="5">
        <v>0.91428571428571404</v>
      </c>
      <c r="J12" s="5">
        <v>0</v>
      </c>
    </row>
    <row r="13" spans="1:10" x14ac:dyDescent="0.2">
      <c r="A13" s="1" t="s">
        <v>37</v>
      </c>
      <c r="B13" s="4">
        <v>102</v>
      </c>
      <c r="C13" s="4">
        <v>15</v>
      </c>
      <c r="D13" s="4">
        <v>10</v>
      </c>
      <c r="E13" s="5">
        <v>0.14705882352941199</v>
      </c>
      <c r="F13" s="5">
        <v>9.8039215686274495E-2</v>
      </c>
      <c r="G13" s="19">
        <v>1.5</v>
      </c>
      <c r="H13" s="5">
        <v>0</v>
      </c>
      <c r="I13" s="5">
        <v>0</v>
      </c>
      <c r="J13" s="5">
        <v>1</v>
      </c>
    </row>
    <row r="14" spans="1:10" x14ac:dyDescent="0.2">
      <c r="A14" s="1" t="s">
        <v>43</v>
      </c>
      <c r="B14" s="4">
        <v>87</v>
      </c>
      <c r="C14" s="4">
        <v>1</v>
      </c>
      <c r="D14" s="4">
        <v>8</v>
      </c>
      <c r="E14" s="5">
        <v>1.1494252873563199E-2</v>
      </c>
      <c r="F14" s="5">
        <v>9.1954022988505801E-2</v>
      </c>
      <c r="G14" s="19">
        <v>0.125</v>
      </c>
      <c r="H14" s="5">
        <v>0.60919540229885105</v>
      </c>
      <c r="I14" s="5">
        <v>0.35632183908046</v>
      </c>
      <c r="J14" s="5">
        <v>0</v>
      </c>
    </row>
    <row r="15" spans="1:10" x14ac:dyDescent="0.2">
      <c r="A15" s="1" t="s">
        <v>54</v>
      </c>
      <c r="B15" s="4">
        <v>86</v>
      </c>
      <c r="C15" s="4">
        <v>1</v>
      </c>
      <c r="D15" s="4">
        <v>1</v>
      </c>
      <c r="E15" s="5">
        <v>1.16279069767442E-2</v>
      </c>
      <c r="F15" s="5">
        <v>1.16279069767442E-2</v>
      </c>
      <c r="G15" s="19">
        <v>1</v>
      </c>
      <c r="H15" s="5">
        <v>0.581395348837209</v>
      </c>
      <c r="I15" s="5">
        <v>0.40697674418604701</v>
      </c>
      <c r="J15" s="5">
        <v>0</v>
      </c>
    </row>
    <row r="16" spans="1:10" x14ac:dyDescent="0.2">
      <c r="A16" s="1" t="s">
        <v>44</v>
      </c>
      <c r="B16" s="4">
        <v>86</v>
      </c>
      <c r="C16" s="4">
        <v>1</v>
      </c>
      <c r="D16" s="4">
        <v>3</v>
      </c>
      <c r="E16" s="5">
        <v>1.16279069767442E-2</v>
      </c>
      <c r="F16" s="5">
        <v>3.4883720930232599E-2</v>
      </c>
      <c r="G16" s="19">
        <v>0.33333333333333298</v>
      </c>
      <c r="H16" s="5">
        <v>0.581395348837209</v>
      </c>
      <c r="I16" s="5">
        <v>0.40697674418604701</v>
      </c>
      <c r="J16" s="5">
        <v>0</v>
      </c>
    </row>
    <row r="17" spans="1:10" x14ac:dyDescent="0.2">
      <c r="A17" s="1" t="s">
        <v>28</v>
      </c>
      <c r="B17" s="4">
        <v>85</v>
      </c>
      <c r="C17" s="4">
        <v>14</v>
      </c>
      <c r="D17" s="4">
        <v>10</v>
      </c>
      <c r="E17" s="5">
        <v>0.16470588235294101</v>
      </c>
      <c r="F17" s="5">
        <v>0.11764705882352899</v>
      </c>
      <c r="G17" s="19">
        <v>1.4</v>
      </c>
      <c r="H17" s="5">
        <v>0</v>
      </c>
      <c r="I17" s="5">
        <v>0</v>
      </c>
      <c r="J17" s="5">
        <v>1</v>
      </c>
    </row>
    <row r="18" spans="1:10" x14ac:dyDescent="0.2">
      <c r="A18" s="1" t="s">
        <v>49</v>
      </c>
      <c r="B18" s="4">
        <v>61</v>
      </c>
      <c r="C18" s="4">
        <v>5</v>
      </c>
      <c r="D18" s="4">
        <v>2</v>
      </c>
      <c r="E18" s="5">
        <v>8.1967213114754106E-2</v>
      </c>
      <c r="F18" s="5">
        <v>3.2786885245901599E-2</v>
      </c>
      <c r="G18" s="19">
        <v>2.5</v>
      </c>
      <c r="H18" s="5">
        <v>9.8360655737704902E-2</v>
      </c>
      <c r="I18" s="5">
        <v>0.90163934426229497</v>
      </c>
      <c r="J18" s="5">
        <v>0</v>
      </c>
    </row>
    <row r="19" spans="1:10" x14ac:dyDescent="0.2">
      <c r="A19" s="1" t="s">
        <v>53</v>
      </c>
      <c r="B19" s="4">
        <v>60</v>
      </c>
      <c r="C19" s="4">
        <v>4</v>
      </c>
      <c r="D19" s="4">
        <v>1</v>
      </c>
      <c r="E19" s="5">
        <v>6.6666666666666693E-2</v>
      </c>
      <c r="F19" s="5">
        <v>1.6666666666666701E-2</v>
      </c>
      <c r="G19" s="19">
        <v>4</v>
      </c>
      <c r="H19" s="5">
        <v>0</v>
      </c>
      <c r="I19" s="5">
        <v>1</v>
      </c>
      <c r="J19" s="5">
        <v>0</v>
      </c>
    </row>
    <row r="20" spans="1:10" x14ac:dyDescent="0.2">
      <c r="A20" s="1" t="s">
        <v>46</v>
      </c>
      <c r="B20" s="4">
        <v>57</v>
      </c>
      <c r="C20" s="4">
        <v>8</v>
      </c>
      <c r="D20" s="4">
        <v>0</v>
      </c>
      <c r="E20" s="5">
        <v>0.140350877192982</v>
      </c>
      <c r="F20" s="5">
        <v>0</v>
      </c>
      <c r="G20" s="20"/>
      <c r="H20" s="5">
        <v>0</v>
      </c>
      <c r="I20" s="5">
        <v>0</v>
      </c>
      <c r="J20" s="5">
        <v>1</v>
      </c>
    </row>
    <row r="21" spans="1:10" x14ac:dyDescent="0.2">
      <c r="A21" s="1" t="s">
        <v>29</v>
      </c>
      <c r="B21" s="4">
        <v>51</v>
      </c>
      <c r="C21" s="4">
        <v>7</v>
      </c>
      <c r="D21" s="4">
        <v>6</v>
      </c>
      <c r="E21" s="5">
        <v>0.13725490196078399</v>
      </c>
      <c r="F21" s="5">
        <v>0.11764705882352899</v>
      </c>
      <c r="G21" s="19">
        <v>1.1666666666666701</v>
      </c>
      <c r="H21" s="5">
        <v>0</v>
      </c>
      <c r="I21" s="5">
        <v>0</v>
      </c>
      <c r="J21" s="5">
        <v>1</v>
      </c>
    </row>
    <row r="22" spans="1:10" x14ac:dyDescent="0.2">
      <c r="A22" s="1" t="s">
        <v>52</v>
      </c>
      <c r="B22" s="4">
        <v>50</v>
      </c>
      <c r="C22" s="4">
        <v>2</v>
      </c>
      <c r="D22" s="4">
        <v>0</v>
      </c>
      <c r="E22" s="5">
        <v>0.04</v>
      </c>
      <c r="F22" s="5">
        <v>0</v>
      </c>
      <c r="G22" s="20"/>
      <c r="H22" s="5">
        <v>0.36</v>
      </c>
      <c r="I22" s="5">
        <v>0.64</v>
      </c>
      <c r="J22" s="5">
        <v>0</v>
      </c>
    </row>
    <row r="23" spans="1:10" x14ac:dyDescent="0.2">
      <c r="A23" s="1" t="s">
        <v>36</v>
      </c>
      <c r="B23" s="4">
        <v>49</v>
      </c>
      <c r="C23" s="4">
        <v>9</v>
      </c>
      <c r="D23" s="4">
        <v>0</v>
      </c>
      <c r="E23" s="5">
        <v>0.183673469387755</v>
      </c>
      <c r="F23" s="5">
        <v>0</v>
      </c>
      <c r="G23" s="20"/>
      <c r="H23" s="5">
        <v>0</v>
      </c>
      <c r="I23" s="5">
        <v>0</v>
      </c>
      <c r="J23" s="5">
        <v>1</v>
      </c>
    </row>
    <row r="24" spans="1:10" x14ac:dyDescent="0.2">
      <c r="A24" s="1" t="s">
        <v>51</v>
      </c>
      <c r="B24" s="4">
        <v>47</v>
      </c>
      <c r="C24" s="4">
        <v>0</v>
      </c>
      <c r="D24" s="4">
        <v>0</v>
      </c>
      <c r="E24" s="5">
        <v>0</v>
      </c>
      <c r="F24" s="5">
        <v>0</v>
      </c>
      <c r="G24" s="20"/>
      <c r="H24" s="5">
        <v>2.1276595744680899E-2</v>
      </c>
      <c r="I24" s="5">
        <v>0.97872340425531901</v>
      </c>
      <c r="J24" s="5">
        <v>0</v>
      </c>
    </row>
    <row r="25" spans="1:10" x14ac:dyDescent="0.2">
      <c r="A25" s="1" t="s">
        <v>40</v>
      </c>
      <c r="B25" s="4">
        <v>47</v>
      </c>
      <c r="C25" s="4">
        <v>0</v>
      </c>
      <c r="D25" s="4">
        <v>4</v>
      </c>
      <c r="E25" s="5">
        <v>0</v>
      </c>
      <c r="F25" s="5">
        <v>8.5106382978723402E-2</v>
      </c>
      <c r="G25" s="19">
        <v>0</v>
      </c>
      <c r="H25" s="5">
        <v>2.1276595744680899E-2</v>
      </c>
      <c r="I25" s="5">
        <v>0.97872340425531901</v>
      </c>
      <c r="J25" s="5">
        <v>0</v>
      </c>
    </row>
    <row r="26" spans="1:10" x14ac:dyDescent="0.2">
      <c r="A26" s="1" t="s">
        <v>47</v>
      </c>
      <c r="B26" s="4">
        <v>47</v>
      </c>
      <c r="C26" s="4">
        <v>0</v>
      </c>
      <c r="D26" s="4">
        <v>1</v>
      </c>
      <c r="E26" s="5">
        <v>0</v>
      </c>
      <c r="F26" s="5">
        <v>2.1276595744680899E-2</v>
      </c>
      <c r="G26" s="19">
        <v>0</v>
      </c>
      <c r="H26" s="5">
        <v>2.1276595744680899E-2</v>
      </c>
      <c r="I26" s="5">
        <v>0.97872340425531901</v>
      </c>
      <c r="J26" s="5">
        <v>0</v>
      </c>
    </row>
    <row r="27" spans="1:10" x14ac:dyDescent="0.2">
      <c r="A27" s="1" t="s">
        <v>31</v>
      </c>
      <c r="B27" s="4">
        <v>36</v>
      </c>
      <c r="C27" s="4">
        <v>8</v>
      </c>
      <c r="D27" s="4">
        <v>5</v>
      </c>
      <c r="E27" s="5">
        <v>0.22222222222222199</v>
      </c>
      <c r="F27" s="5">
        <v>0.13888888888888901</v>
      </c>
      <c r="G27" s="19">
        <v>1.6</v>
      </c>
      <c r="H27" s="5">
        <v>0</v>
      </c>
      <c r="I27" s="5">
        <v>0</v>
      </c>
      <c r="J27" s="5">
        <v>1</v>
      </c>
    </row>
    <row r="28" spans="1:10" x14ac:dyDescent="0.2">
      <c r="A28" s="1" t="s">
        <v>41</v>
      </c>
      <c r="B28" s="4">
        <v>36</v>
      </c>
      <c r="C28" s="4">
        <v>4</v>
      </c>
      <c r="D28" s="4">
        <v>3</v>
      </c>
      <c r="E28" s="5">
        <v>0.11111111111111099</v>
      </c>
      <c r="F28" s="5">
        <v>8.3333333333333301E-2</v>
      </c>
      <c r="G28" s="19">
        <v>1.3333333333333299</v>
      </c>
      <c r="H28" s="5">
        <v>0.13888888888888901</v>
      </c>
      <c r="I28" s="5">
        <v>0.86111111111111105</v>
      </c>
      <c r="J28" s="5">
        <v>0</v>
      </c>
    </row>
    <row r="29" spans="1:10" x14ac:dyDescent="0.2">
      <c r="A29" s="1" t="s">
        <v>50</v>
      </c>
      <c r="B29" s="4">
        <v>29</v>
      </c>
      <c r="C29" s="4">
        <v>0</v>
      </c>
      <c r="D29" s="4">
        <v>4</v>
      </c>
      <c r="E29" s="5">
        <v>0</v>
      </c>
      <c r="F29" s="5">
        <v>0.13793103448275901</v>
      </c>
      <c r="G29" s="19">
        <v>0</v>
      </c>
      <c r="H29" s="5">
        <v>0</v>
      </c>
      <c r="I29" s="5">
        <v>0</v>
      </c>
      <c r="J29" s="5">
        <v>0</v>
      </c>
    </row>
    <row r="30" spans="1:10" x14ac:dyDescent="0.2">
      <c r="A30" s="1" t="s">
        <v>45</v>
      </c>
      <c r="B30" s="4">
        <v>23</v>
      </c>
      <c r="C30" s="4">
        <v>0</v>
      </c>
      <c r="D30" s="4">
        <v>5</v>
      </c>
      <c r="E30" s="5">
        <v>0</v>
      </c>
      <c r="F30" s="5">
        <v>0.217391304347826</v>
      </c>
      <c r="G30" s="19">
        <v>0</v>
      </c>
      <c r="H30" s="5">
        <v>0</v>
      </c>
      <c r="I30" s="5">
        <v>0</v>
      </c>
      <c r="J30" s="5">
        <v>0</v>
      </c>
    </row>
    <row r="31" spans="1:10" x14ac:dyDescent="0.2">
      <c r="A31" s="1" t="s">
        <v>38</v>
      </c>
      <c r="B31" s="4">
        <v>19</v>
      </c>
      <c r="C31" s="4">
        <v>4</v>
      </c>
      <c r="D31" s="4">
        <v>1</v>
      </c>
      <c r="E31" s="5">
        <v>0.21052631578947401</v>
      </c>
      <c r="F31" s="5">
        <v>5.2631578947368397E-2</v>
      </c>
      <c r="G31" s="19">
        <v>4</v>
      </c>
      <c r="H31" s="5">
        <v>0</v>
      </c>
      <c r="I31" s="5">
        <v>0</v>
      </c>
      <c r="J31" s="5">
        <v>1</v>
      </c>
    </row>
    <row r="32" spans="1:10" x14ac:dyDescent="0.2">
      <c r="A32" s="1" t="s">
        <v>55</v>
      </c>
      <c r="B32" s="4">
        <v>6</v>
      </c>
      <c r="C32" s="4">
        <v>0</v>
      </c>
      <c r="D32" s="4">
        <v>0</v>
      </c>
      <c r="E32" s="5">
        <v>0</v>
      </c>
      <c r="F32" s="5">
        <v>0</v>
      </c>
      <c r="G32" s="20"/>
      <c r="H32" s="5">
        <v>0</v>
      </c>
      <c r="I32" s="5">
        <v>1</v>
      </c>
      <c r="J32" s="5">
        <v>0</v>
      </c>
    </row>
    <row r="33" spans="1:10" x14ac:dyDescent="0.2">
      <c r="A33" s="1" t="s">
        <v>57</v>
      </c>
      <c r="B33" s="4">
        <v>6</v>
      </c>
      <c r="C33" s="4">
        <v>0</v>
      </c>
      <c r="D33" s="4">
        <v>0</v>
      </c>
      <c r="E33" s="5">
        <v>0</v>
      </c>
      <c r="F33" s="5">
        <v>0</v>
      </c>
      <c r="G33" s="20"/>
      <c r="H33" s="5">
        <v>0</v>
      </c>
      <c r="I33" s="5">
        <v>1</v>
      </c>
      <c r="J33" s="5">
        <v>0</v>
      </c>
    </row>
    <row r="34" spans="1:10" x14ac:dyDescent="0.2">
      <c r="A34" s="1" t="s">
        <v>56</v>
      </c>
      <c r="B34" s="4">
        <v>6</v>
      </c>
      <c r="C34" s="4">
        <v>0</v>
      </c>
      <c r="D34" s="4">
        <v>0</v>
      </c>
      <c r="E34" s="5">
        <v>0</v>
      </c>
      <c r="F34" s="5">
        <v>0</v>
      </c>
      <c r="G34" s="20"/>
      <c r="H34" s="5">
        <v>0</v>
      </c>
      <c r="I34" s="5">
        <v>1</v>
      </c>
      <c r="J34" s="5">
        <v>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2"/>
  <sheetViews>
    <sheetView workbookViewId="0"/>
  </sheetViews>
  <sheetFormatPr baseColWidth="10" defaultRowHeight="16" x14ac:dyDescent="0.2"/>
  <cols>
    <col min="1" max="1" width="34" customWidth="1"/>
    <col min="2" max="2" width="28" customWidth="1"/>
    <col min="3" max="3" width="25" customWidth="1"/>
    <col min="4" max="4" width="30" customWidth="1"/>
    <col min="5" max="5" width="22" customWidth="1"/>
    <col min="6" max="7" width="20" customWidth="1"/>
  </cols>
  <sheetData>
    <row r="1" spans="1:7" ht="45.25" customHeight="1" x14ac:dyDescent="0.2">
      <c r="A1" s="2" t="s">
        <v>68</v>
      </c>
      <c r="B1" s="2" t="s">
        <v>69</v>
      </c>
      <c r="C1" s="2" t="s">
        <v>70</v>
      </c>
      <c r="D1" s="2" t="s">
        <v>71</v>
      </c>
      <c r="E1" s="25"/>
      <c r="F1" s="25"/>
      <c r="G1" s="25"/>
    </row>
    <row r="2" spans="1:7" x14ac:dyDescent="0.2">
      <c r="A2" s="26" t="s">
        <v>72</v>
      </c>
      <c r="B2" s="27">
        <v>398</v>
      </c>
      <c r="C2" s="27">
        <v>63</v>
      </c>
      <c r="D2" s="35">
        <v>2772</v>
      </c>
      <c r="E2" s="25"/>
      <c r="F2" s="25"/>
      <c r="G2" s="25"/>
    </row>
    <row r="3" spans="1:7" x14ac:dyDescent="0.2">
      <c r="A3" s="1" t="s">
        <v>73</v>
      </c>
      <c r="B3" s="6">
        <v>315</v>
      </c>
      <c r="C3" s="6">
        <v>102.65902004722</v>
      </c>
      <c r="D3" s="33">
        <v>4180.0298982991098</v>
      </c>
      <c r="E3" s="25"/>
      <c r="F3" s="25"/>
      <c r="G3" s="25"/>
    </row>
    <row r="4" spans="1:7" x14ac:dyDescent="0.2">
      <c r="A4" s="28" t="s">
        <v>74</v>
      </c>
      <c r="B4" s="29">
        <v>224.81818181818201</v>
      </c>
      <c r="C4" s="29">
        <v>71.568468705811696</v>
      </c>
      <c r="D4" s="36">
        <v>2932.7645845071502</v>
      </c>
      <c r="E4" s="25"/>
      <c r="F4" s="25"/>
      <c r="G4" s="25"/>
    </row>
    <row r="5" spans="1:7" x14ac:dyDescent="0.2">
      <c r="A5" s="25"/>
      <c r="B5" s="25"/>
      <c r="C5" s="25"/>
      <c r="D5" s="25"/>
      <c r="E5" s="25"/>
      <c r="F5" s="25"/>
      <c r="G5" s="25"/>
    </row>
    <row r="6" spans="1:7" x14ac:dyDescent="0.2">
      <c r="A6" s="73" t="s">
        <v>117</v>
      </c>
      <c r="B6" s="73"/>
      <c r="C6" s="25"/>
      <c r="D6" s="73" t="s">
        <v>118</v>
      </c>
      <c r="E6" s="73"/>
      <c r="F6" s="73"/>
      <c r="G6" s="73"/>
    </row>
    <row r="7" spans="1:7" x14ac:dyDescent="0.2">
      <c r="A7" s="25"/>
      <c r="B7" s="25"/>
      <c r="C7" s="25"/>
      <c r="D7" s="25"/>
      <c r="E7" s="25"/>
      <c r="F7" s="25"/>
      <c r="G7" s="25"/>
    </row>
    <row r="8" spans="1:7" x14ac:dyDescent="0.2">
      <c r="A8" s="2" t="s">
        <v>12</v>
      </c>
      <c r="B8" s="2" t="s">
        <v>75</v>
      </c>
      <c r="C8" s="25"/>
      <c r="D8" s="25"/>
      <c r="E8" s="25"/>
      <c r="F8" s="25"/>
      <c r="G8" s="25"/>
    </row>
    <row r="9" spans="1:7" x14ac:dyDescent="0.2">
      <c r="A9" s="1" t="s">
        <v>25</v>
      </c>
      <c r="B9" s="4">
        <v>203</v>
      </c>
      <c r="C9" s="25"/>
      <c r="D9" s="2" t="s">
        <v>76</v>
      </c>
      <c r="E9" s="2" t="s">
        <v>77</v>
      </c>
      <c r="F9" s="2" t="s">
        <v>78</v>
      </c>
      <c r="G9" s="2" t="s">
        <v>79</v>
      </c>
    </row>
    <row r="10" spans="1:7" x14ac:dyDescent="0.2">
      <c r="A10" s="1" t="s">
        <v>26</v>
      </c>
      <c r="B10" s="4">
        <v>17</v>
      </c>
      <c r="C10" s="25"/>
      <c r="D10" s="1" t="s">
        <v>25</v>
      </c>
      <c r="E10" s="6">
        <v>95.818181818181799</v>
      </c>
      <c r="F10" s="6">
        <v>30.3481074086056</v>
      </c>
      <c r="G10" s="33">
        <v>1335.3167259786501</v>
      </c>
    </row>
    <row r="11" spans="1:7" x14ac:dyDescent="0.2">
      <c r="A11" s="1" t="s">
        <v>30</v>
      </c>
      <c r="B11" s="4">
        <v>15</v>
      </c>
      <c r="C11" s="25"/>
      <c r="D11" s="1" t="s">
        <v>30</v>
      </c>
      <c r="E11" s="6">
        <v>28.181818181818201</v>
      </c>
      <c r="F11" s="6">
        <v>7.3977272727272698</v>
      </c>
      <c r="G11" s="33">
        <v>325.5</v>
      </c>
    </row>
    <row r="12" spans="1:7" x14ac:dyDescent="0.2">
      <c r="A12" s="1" t="s">
        <v>28</v>
      </c>
      <c r="B12" s="4">
        <v>13</v>
      </c>
      <c r="C12" s="25"/>
      <c r="D12" s="1" t="s">
        <v>80</v>
      </c>
      <c r="E12" s="6">
        <v>33.818181818181799</v>
      </c>
      <c r="F12" s="6">
        <v>11.666971196245299</v>
      </c>
      <c r="G12" s="33">
        <v>434.16249685164098</v>
      </c>
    </row>
    <row r="13" spans="1:7" x14ac:dyDescent="0.2">
      <c r="A13" s="1" t="s">
        <v>27</v>
      </c>
      <c r="B13" s="4">
        <v>13</v>
      </c>
      <c r="C13" s="25"/>
      <c r="D13" s="1" t="s">
        <v>81</v>
      </c>
      <c r="E13" s="6">
        <v>90.181818181818201</v>
      </c>
      <c r="F13" s="6">
        <v>0</v>
      </c>
      <c r="G13" s="33">
        <v>0</v>
      </c>
    </row>
    <row r="14" spans="1:7" x14ac:dyDescent="0.2">
      <c r="A14" s="1" t="s">
        <v>37</v>
      </c>
      <c r="B14" s="4">
        <v>11</v>
      </c>
      <c r="C14" s="25"/>
      <c r="D14" s="25"/>
      <c r="E14" s="25"/>
      <c r="F14" s="25"/>
      <c r="G14" s="25"/>
    </row>
    <row r="15" spans="1:7" x14ac:dyDescent="0.2">
      <c r="A15" s="1" t="s">
        <v>35</v>
      </c>
      <c r="B15" s="4">
        <v>10</v>
      </c>
      <c r="C15" s="25"/>
      <c r="D15" s="25"/>
      <c r="E15" s="25"/>
      <c r="F15" s="25"/>
      <c r="G15" s="25"/>
    </row>
    <row r="16" spans="1:7" x14ac:dyDescent="0.2">
      <c r="A16" s="1" t="s">
        <v>31</v>
      </c>
      <c r="B16" s="4">
        <v>7</v>
      </c>
      <c r="C16" s="25"/>
      <c r="D16" s="25"/>
      <c r="E16" s="25"/>
      <c r="F16" s="25"/>
      <c r="G16" s="25"/>
    </row>
    <row r="17" spans="1:7" x14ac:dyDescent="0.2">
      <c r="A17" s="1" t="s">
        <v>34</v>
      </c>
      <c r="B17" s="4">
        <v>7</v>
      </c>
      <c r="C17" s="25"/>
      <c r="D17" s="25"/>
      <c r="E17" s="25"/>
      <c r="F17" s="25"/>
      <c r="G17" s="25"/>
    </row>
    <row r="18" spans="1:7" x14ac:dyDescent="0.2">
      <c r="A18" s="1" t="s">
        <v>29</v>
      </c>
      <c r="B18" s="4">
        <v>6</v>
      </c>
      <c r="C18" s="25"/>
      <c r="D18" s="25"/>
      <c r="E18" s="25"/>
      <c r="F18" s="25"/>
      <c r="G18" s="25"/>
    </row>
    <row r="19" spans="1:7" x14ac:dyDescent="0.2">
      <c r="A19" s="1" t="s">
        <v>36</v>
      </c>
      <c r="B19" s="4">
        <v>4</v>
      </c>
      <c r="C19" s="25"/>
      <c r="D19" s="25"/>
      <c r="E19" s="25"/>
      <c r="F19" s="25"/>
      <c r="G19" s="25"/>
    </row>
    <row r="20" spans="1:7" x14ac:dyDescent="0.2">
      <c r="A20" s="1" t="s">
        <v>38</v>
      </c>
      <c r="B20" s="4">
        <v>4</v>
      </c>
      <c r="C20" s="25"/>
      <c r="D20" s="25"/>
      <c r="E20" s="25"/>
      <c r="F20" s="25"/>
      <c r="G20" s="25"/>
    </row>
    <row r="21" spans="1:7" x14ac:dyDescent="0.2">
      <c r="A21" s="1" t="s">
        <v>33</v>
      </c>
      <c r="B21" s="4">
        <v>3</v>
      </c>
      <c r="C21" s="25"/>
      <c r="D21" s="25"/>
      <c r="E21" s="25"/>
      <c r="F21" s="25"/>
      <c r="G21" s="25"/>
    </row>
    <row r="22" spans="1:7" x14ac:dyDescent="0.2">
      <c r="A22" s="1" t="s">
        <v>32</v>
      </c>
      <c r="B22" s="4">
        <v>2</v>
      </c>
      <c r="C22" s="25"/>
      <c r="D22" s="25"/>
      <c r="E22" s="25"/>
      <c r="F22" s="25"/>
      <c r="G22" s="25"/>
    </row>
  </sheetData>
  <mergeCells count="2">
    <mergeCell ref="A6:B6"/>
    <mergeCell ref="D6:G6"/>
  </mergeCells>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19"/>
  <sheetViews>
    <sheetView topLeftCell="E1" zoomScale="90" zoomScaleNormal="90" workbookViewId="0">
      <selection activeCell="E30" sqref="E30"/>
    </sheetView>
  </sheetViews>
  <sheetFormatPr baseColWidth="10" defaultRowHeight="16" x14ac:dyDescent="0.2"/>
  <cols>
    <col min="1" max="1" width="45" customWidth="1"/>
    <col min="2" max="2" width="23" customWidth="1"/>
    <col min="3" max="3" width="22" customWidth="1"/>
    <col min="4" max="4" width="20" customWidth="1"/>
    <col min="5" max="5" width="22" customWidth="1"/>
  </cols>
  <sheetData>
    <row r="1" spans="1:11" ht="42.75" customHeight="1" x14ac:dyDescent="0.2">
      <c r="A1" s="2" t="s">
        <v>82</v>
      </c>
      <c r="B1" s="2" t="s">
        <v>83</v>
      </c>
      <c r="C1" s="25"/>
      <c r="D1" s="25"/>
      <c r="E1" s="25"/>
    </row>
    <row r="2" spans="1:11" x14ac:dyDescent="0.2">
      <c r="A2" s="1" t="s">
        <v>84</v>
      </c>
      <c r="B2" s="5">
        <v>0.61326055680479497</v>
      </c>
      <c r="C2" s="25"/>
      <c r="D2" s="25"/>
      <c r="E2" s="25"/>
    </row>
    <row r="3" spans="1:11" x14ac:dyDescent="0.2">
      <c r="A3" s="9" t="s">
        <v>85</v>
      </c>
      <c r="B3" s="11">
        <v>0.80810767069817402</v>
      </c>
      <c r="C3" s="25"/>
      <c r="D3" s="25"/>
      <c r="E3" s="25"/>
    </row>
    <row r="4" spans="1:11" x14ac:dyDescent="0.2">
      <c r="A4" s="25"/>
      <c r="B4" s="25"/>
      <c r="C4" s="25"/>
      <c r="D4" s="25"/>
      <c r="E4" s="25"/>
    </row>
    <row r="5" spans="1:11" x14ac:dyDescent="0.2">
      <c r="A5" s="73" t="s">
        <v>119</v>
      </c>
      <c r="B5" s="73"/>
      <c r="C5" s="73"/>
      <c r="D5" s="73"/>
      <c r="E5" s="73"/>
    </row>
    <row r="6" spans="1:11" x14ac:dyDescent="0.2">
      <c r="A6" s="25"/>
      <c r="B6" s="25"/>
      <c r="C6" s="25"/>
      <c r="D6" s="25"/>
      <c r="E6" s="25"/>
    </row>
    <row r="7" spans="1:11" x14ac:dyDescent="0.2">
      <c r="A7" s="25"/>
      <c r="B7" s="25"/>
      <c r="C7" s="25"/>
      <c r="D7" s="25"/>
      <c r="E7" s="25"/>
    </row>
    <row r="8" spans="1:11" x14ac:dyDescent="0.2">
      <c r="A8" s="2" t="s">
        <v>86</v>
      </c>
      <c r="B8" s="2" t="s">
        <v>78</v>
      </c>
      <c r="C8" s="2" t="s">
        <v>79</v>
      </c>
      <c r="D8" s="2" t="s">
        <v>87</v>
      </c>
      <c r="E8" s="2" t="s">
        <v>88</v>
      </c>
      <c r="G8" t="s">
        <v>158</v>
      </c>
      <c r="H8" t="s">
        <v>159</v>
      </c>
      <c r="J8" t="s">
        <v>160</v>
      </c>
      <c r="K8" t="s">
        <v>161</v>
      </c>
    </row>
    <row r="9" spans="1:11" x14ac:dyDescent="0.2">
      <c r="A9" s="30">
        <v>0</v>
      </c>
      <c r="B9" s="6">
        <v>49.412805877578201</v>
      </c>
      <c r="C9" s="33">
        <v>2094.9792228302899</v>
      </c>
      <c r="D9" s="6">
        <v>-13.587194122421799</v>
      </c>
      <c r="E9" s="37">
        <v>-677.02077716971098</v>
      </c>
      <c r="G9">
        <v>0</v>
      </c>
      <c r="H9">
        <v>0</v>
      </c>
      <c r="J9" s="40">
        <f>B3</f>
        <v>0.80810767069817402</v>
      </c>
      <c r="K9">
        <v>0</v>
      </c>
    </row>
    <row r="10" spans="1:11" x14ac:dyDescent="0.2">
      <c r="A10" s="30">
        <v>0.1</v>
      </c>
      <c r="B10" s="6">
        <v>51.628372160401597</v>
      </c>
      <c r="C10" s="33">
        <v>2178.7577589979701</v>
      </c>
      <c r="D10" s="6">
        <v>-11.3716278395984</v>
      </c>
      <c r="E10" s="37">
        <v>-593.24224100202605</v>
      </c>
      <c r="G10">
        <v>1</v>
      </c>
      <c r="H10">
        <v>0</v>
      </c>
    </row>
    <row r="11" spans="1:11" x14ac:dyDescent="0.2">
      <c r="A11" s="30">
        <v>0.2</v>
      </c>
      <c r="B11" s="6">
        <v>53.8439384432249</v>
      </c>
      <c r="C11" s="33">
        <v>2262.5362951656598</v>
      </c>
      <c r="D11" s="6">
        <v>-9.1560615567750805</v>
      </c>
      <c r="E11" s="37">
        <v>-509.46370483433998</v>
      </c>
    </row>
    <row r="12" spans="1:11" x14ac:dyDescent="0.2">
      <c r="A12" s="30">
        <v>0.3</v>
      </c>
      <c r="B12" s="6">
        <v>56.059504726048303</v>
      </c>
      <c r="C12" s="33">
        <v>2346.31483133335</v>
      </c>
      <c r="D12" s="6">
        <v>-6.94049527395173</v>
      </c>
      <c r="E12" s="37">
        <v>-425.68516866665499</v>
      </c>
    </row>
    <row r="13" spans="1:11" x14ac:dyDescent="0.2">
      <c r="A13" s="30">
        <v>0.4</v>
      </c>
      <c r="B13" s="6">
        <v>58.275071008871599</v>
      </c>
      <c r="C13" s="33">
        <v>2430.0933675010301</v>
      </c>
      <c r="D13" s="6">
        <v>-4.7249289911283698</v>
      </c>
      <c r="E13" s="37">
        <v>-341.90663249896897</v>
      </c>
    </row>
    <row r="14" spans="1:11" x14ac:dyDescent="0.2">
      <c r="A14" s="30">
        <v>0.5</v>
      </c>
      <c r="B14" s="6">
        <v>60.490637291695002</v>
      </c>
      <c r="C14" s="33">
        <v>2513.8719036687198</v>
      </c>
      <c r="D14" s="6">
        <v>-2.5093627083050198</v>
      </c>
      <c r="E14" s="37">
        <v>-258.12809633128302</v>
      </c>
    </row>
    <row r="15" spans="1:11" x14ac:dyDescent="0.2">
      <c r="A15" s="30">
        <v>0.6</v>
      </c>
      <c r="B15" s="6">
        <v>62.706203574518298</v>
      </c>
      <c r="C15" s="33">
        <v>2597.6504398364</v>
      </c>
      <c r="D15" s="6">
        <v>-0.29379642548166601</v>
      </c>
      <c r="E15" s="37">
        <v>-174.349560163597</v>
      </c>
    </row>
    <row r="16" spans="1:11" x14ac:dyDescent="0.2">
      <c r="A16" s="30">
        <v>0.7</v>
      </c>
      <c r="B16" s="6">
        <v>64.921769857341701</v>
      </c>
      <c r="C16" s="33">
        <v>2681.4289760040901</v>
      </c>
      <c r="D16" s="6">
        <v>1.9217698573416899</v>
      </c>
      <c r="E16" s="37">
        <v>-90.571023995911702</v>
      </c>
    </row>
    <row r="17" spans="1:5" x14ac:dyDescent="0.2">
      <c r="A17" s="30">
        <v>0.8</v>
      </c>
      <c r="B17" s="6">
        <v>67.137336140165004</v>
      </c>
      <c r="C17" s="33">
        <v>2765.2075121717698</v>
      </c>
      <c r="D17" s="6">
        <v>4.1373361401650302</v>
      </c>
      <c r="E17" s="37">
        <v>-6.7924878282260597</v>
      </c>
    </row>
    <row r="18" spans="1:5" x14ac:dyDescent="0.2">
      <c r="A18" s="30">
        <v>0.9</v>
      </c>
      <c r="B18" s="6">
        <v>69.352902422988393</v>
      </c>
      <c r="C18" s="33">
        <v>2848.98604833946</v>
      </c>
      <c r="D18" s="6">
        <v>6.3529024229883904</v>
      </c>
      <c r="E18" s="37">
        <v>76.9860483394596</v>
      </c>
    </row>
    <row r="19" spans="1:5" x14ac:dyDescent="0.2">
      <c r="A19" s="30">
        <v>1</v>
      </c>
      <c r="B19" s="6">
        <v>71.568468705811696</v>
      </c>
      <c r="C19" s="33">
        <v>2932.7645845071502</v>
      </c>
      <c r="D19" s="6">
        <v>8.5684687058117408</v>
      </c>
      <c r="E19" s="37">
        <v>160.764584507145</v>
      </c>
    </row>
  </sheetData>
  <mergeCells count="1">
    <mergeCell ref="A5:E5"/>
  </mergeCells>
  <conditionalFormatting sqref="D9:D19">
    <cfRule type="expression" dxfId="3" priority="1">
      <formula>D9&lt;0</formula>
    </cfRule>
    <cfRule type="expression" dxfId="2" priority="2">
      <formula>D9&gt;0</formula>
    </cfRule>
  </conditionalFormatting>
  <conditionalFormatting sqref="E9:E19">
    <cfRule type="expression" dxfId="1" priority="3">
      <formula>E9&lt;0</formula>
    </cfRule>
    <cfRule type="expression" dxfId="0" priority="4">
      <formula>E9&gt;0</formula>
    </cfRule>
  </conditionalFormatting>
  <pageMargins left="0.7" right="0.7" top="0.75" bottom="0.75" header="0.3" footer="0.3"/>
  <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45"/>
  <sheetViews>
    <sheetView workbookViewId="0"/>
  </sheetViews>
  <sheetFormatPr baseColWidth="10" defaultRowHeight="16" x14ac:dyDescent="0.2"/>
  <cols>
    <col min="1" max="2" width="18" customWidth="1"/>
    <col min="3" max="6" width="17" customWidth="1"/>
    <col min="7" max="8" width="18" customWidth="1"/>
  </cols>
  <sheetData>
    <row r="1" spans="1:8" ht="37.25" customHeight="1" x14ac:dyDescent="0.2">
      <c r="A1" s="74" t="s">
        <v>120</v>
      </c>
      <c r="B1" s="74"/>
      <c r="C1" s="74"/>
      <c r="D1" s="74"/>
      <c r="E1" s="74"/>
      <c r="F1" s="74"/>
      <c r="G1" s="74"/>
      <c r="H1" s="74"/>
    </row>
    <row r="2" spans="1:8" ht="37.25" customHeight="1" x14ac:dyDescent="0.2">
      <c r="A2" s="74"/>
      <c r="B2" s="74"/>
      <c r="C2" s="74"/>
      <c r="D2" s="74"/>
      <c r="E2" s="74"/>
      <c r="F2" s="74"/>
      <c r="G2" s="74"/>
      <c r="H2" s="74"/>
    </row>
    <row r="3" spans="1:8" x14ac:dyDescent="0.2">
      <c r="A3" s="61" t="s">
        <v>121</v>
      </c>
      <c r="B3" s="61"/>
      <c r="C3" s="61"/>
      <c r="D3" s="61"/>
      <c r="E3" s="61"/>
      <c r="F3" s="61"/>
      <c r="G3" s="61"/>
      <c r="H3" s="61"/>
    </row>
    <row r="5" spans="1:8" x14ac:dyDescent="0.2">
      <c r="A5" s="75" t="s">
        <v>122</v>
      </c>
      <c r="B5" s="75"/>
      <c r="C5" s="75"/>
      <c r="D5" s="75"/>
      <c r="E5" s="75"/>
      <c r="F5" s="75"/>
      <c r="G5" s="75"/>
      <c r="H5" s="75"/>
    </row>
    <row r="6" spans="1:8" ht="32" customHeight="1" x14ac:dyDescent="0.2">
      <c r="A6" s="76" t="s">
        <v>123</v>
      </c>
      <c r="B6" s="76"/>
      <c r="C6" s="76"/>
      <c r="D6" s="76"/>
      <c r="E6" s="76"/>
      <c r="F6" s="76"/>
      <c r="G6" s="76"/>
      <c r="H6" s="76"/>
    </row>
    <row r="7" spans="1:8" ht="32" customHeight="1" x14ac:dyDescent="0.2">
      <c r="A7" s="76"/>
      <c r="B7" s="76"/>
      <c r="C7" s="76"/>
      <c r="D7" s="76"/>
      <c r="E7" s="76"/>
      <c r="F7" s="76"/>
      <c r="G7" s="76"/>
      <c r="H7" s="76"/>
    </row>
    <row r="8" spans="1:8" ht="32" customHeight="1" x14ac:dyDescent="0.2">
      <c r="A8" s="76"/>
      <c r="B8" s="76"/>
      <c r="C8" s="76"/>
      <c r="D8" s="76"/>
      <c r="E8" s="76"/>
      <c r="F8" s="76"/>
      <c r="G8" s="76"/>
      <c r="H8" s="76"/>
    </row>
    <row r="10" spans="1:8" x14ac:dyDescent="0.2">
      <c r="A10" s="75" t="s">
        <v>124</v>
      </c>
      <c r="B10" s="75"/>
      <c r="C10" s="75"/>
      <c r="D10" s="75"/>
      <c r="E10" s="75"/>
      <c r="F10" s="75"/>
      <c r="G10" s="75"/>
      <c r="H10" s="75"/>
    </row>
    <row r="11" spans="1:8" ht="29.25" customHeight="1" x14ac:dyDescent="0.2">
      <c r="A11" s="76" t="s">
        <v>125</v>
      </c>
      <c r="B11" s="76"/>
      <c r="C11" s="76"/>
      <c r="D11" s="76"/>
      <c r="E11" s="76"/>
      <c r="F11" s="76"/>
      <c r="G11" s="76"/>
      <c r="H11" s="76"/>
    </row>
    <row r="12" spans="1:8" ht="29.25" customHeight="1" x14ac:dyDescent="0.2">
      <c r="A12" s="76"/>
      <c r="B12" s="76"/>
      <c r="C12" s="76"/>
      <c r="D12" s="76"/>
      <c r="E12" s="76"/>
      <c r="F12" s="76"/>
      <c r="G12" s="76"/>
      <c r="H12" s="76"/>
    </row>
    <row r="13" spans="1:8" ht="29.25" customHeight="1" x14ac:dyDescent="0.2">
      <c r="A13" s="76"/>
      <c r="B13" s="76"/>
      <c r="C13" s="76"/>
      <c r="D13" s="76"/>
      <c r="E13" s="76"/>
      <c r="F13" s="76"/>
      <c r="G13" s="76"/>
      <c r="H13" s="76"/>
    </row>
    <row r="14" spans="1:8" ht="32" customHeight="1" x14ac:dyDescent="0.2">
      <c r="A14" s="77" t="s">
        <v>126</v>
      </c>
      <c r="B14" s="77"/>
      <c r="C14" s="77"/>
      <c r="D14" s="77"/>
      <c r="E14" s="77"/>
      <c r="F14" s="77"/>
      <c r="G14" s="77"/>
      <c r="H14" s="77"/>
    </row>
    <row r="15" spans="1:8" ht="32" customHeight="1" x14ac:dyDescent="0.2">
      <c r="A15" s="77"/>
      <c r="B15" s="77"/>
      <c r="C15" s="77"/>
      <c r="D15" s="77"/>
      <c r="E15" s="77"/>
      <c r="F15" s="77"/>
      <c r="G15" s="77"/>
      <c r="H15" s="77"/>
    </row>
    <row r="16" spans="1:8" ht="32" customHeight="1" x14ac:dyDescent="0.2">
      <c r="A16" s="77"/>
      <c r="B16" s="77"/>
      <c r="C16" s="77"/>
      <c r="D16" s="77"/>
      <c r="E16" s="77"/>
      <c r="F16" s="77"/>
      <c r="G16" s="77"/>
      <c r="H16" s="77"/>
    </row>
    <row r="18" spans="1:8" x14ac:dyDescent="0.2">
      <c r="A18" s="75" t="s">
        <v>127</v>
      </c>
      <c r="B18" s="75"/>
      <c r="C18" s="75"/>
      <c r="D18" s="75"/>
      <c r="E18" s="75"/>
      <c r="F18" s="75"/>
      <c r="G18" s="75"/>
      <c r="H18" s="75"/>
    </row>
    <row r="19" spans="1:8" x14ac:dyDescent="0.2">
      <c r="A19" s="78" t="s">
        <v>128</v>
      </c>
      <c r="B19" s="78"/>
      <c r="C19" s="78" t="s">
        <v>129</v>
      </c>
      <c r="D19" s="78"/>
      <c r="E19" s="78"/>
      <c r="F19" s="78"/>
      <c r="G19" s="78"/>
      <c r="H19" s="78"/>
    </row>
    <row r="20" spans="1:8" ht="40" customHeight="1" x14ac:dyDescent="0.2">
      <c r="A20" s="79" t="s">
        <v>130</v>
      </c>
      <c r="B20" s="79"/>
      <c r="C20" s="80" t="s">
        <v>131</v>
      </c>
      <c r="D20" s="80"/>
      <c r="E20" s="80"/>
      <c r="F20" s="80"/>
      <c r="G20" s="80"/>
      <c r="H20" s="80"/>
    </row>
    <row r="21" spans="1:8" ht="40" customHeight="1" x14ac:dyDescent="0.2">
      <c r="A21" s="81" t="s">
        <v>132</v>
      </c>
      <c r="B21" s="81"/>
      <c r="C21" s="82" t="s">
        <v>133</v>
      </c>
      <c r="D21" s="82"/>
      <c r="E21" s="82"/>
      <c r="F21" s="82"/>
      <c r="G21" s="82"/>
      <c r="H21" s="82"/>
    </row>
    <row r="22" spans="1:8" ht="40" customHeight="1" x14ac:dyDescent="0.2">
      <c r="A22" s="79" t="s">
        <v>134</v>
      </c>
      <c r="B22" s="79"/>
      <c r="C22" s="80" t="s">
        <v>135</v>
      </c>
      <c r="D22" s="80"/>
      <c r="E22" s="80"/>
      <c r="F22" s="80"/>
      <c r="G22" s="80"/>
      <c r="H22" s="80"/>
    </row>
    <row r="23" spans="1:8" ht="40" customHeight="1" x14ac:dyDescent="0.2">
      <c r="A23" s="81" t="s">
        <v>136</v>
      </c>
      <c r="B23" s="81"/>
      <c r="C23" s="82" t="s">
        <v>137</v>
      </c>
      <c r="D23" s="82"/>
      <c r="E23" s="82"/>
      <c r="F23" s="82"/>
      <c r="G23" s="82"/>
      <c r="H23" s="82"/>
    </row>
    <row r="24" spans="1:8" ht="40" customHeight="1" x14ac:dyDescent="0.2">
      <c r="A24" s="79" t="s">
        <v>138</v>
      </c>
      <c r="B24" s="79"/>
      <c r="C24" s="80" t="s">
        <v>139</v>
      </c>
      <c r="D24" s="80"/>
      <c r="E24" s="80"/>
      <c r="F24" s="80"/>
      <c r="G24" s="80"/>
      <c r="H24" s="80"/>
    </row>
    <row r="26" spans="1:8" x14ac:dyDescent="0.2">
      <c r="A26" s="75" t="s">
        <v>140</v>
      </c>
      <c r="B26" s="75"/>
      <c r="C26" s="75"/>
      <c r="D26" s="75"/>
      <c r="E26" s="75"/>
      <c r="F26" s="75"/>
      <c r="G26" s="75"/>
      <c r="H26" s="75"/>
    </row>
    <row r="27" spans="1:8" x14ac:dyDescent="0.2">
      <c r="A27" s="78" t="s">
        <v>107</v>
      </c>
      <c r="B27" s="78"/>
      <c r="C27" s="78" t="s">
        <v>141</v>
      </c>
      <c r="D27" s="78"/>
      <c r="E27" s="78"/>
      <c r="F27" s="78"/>
      <c r="G27" s="78" t="s">
        <v>142</v>
      </c>
      <c r="H27" s="78"/>
    </row>
    <row r="28" spans="1:8" ht="45.25" customHeight="1" x14ac:dyDescent="0.2">
      <c r="A28" s="79" t="s">
        <v>143</v>
      </c>
      <c r="B28" s="79"/>
      <c r="C28" s="80" t="s">
        <v>144</v>
      </c>
      <c r="D28" s="80"/>
      <c r="E28" s="80"/>
      <c r="F28" s="80"/>
      <c r="G28" s="80" t="s">
        <v>145</v>
      </c>
      <c r="H28" s="80"/>
    </row>
    <row r="29" spans="1:8" ht="56" customHeight="1" x14ac:dyDescent="0.2">
      <c r="A29" s="83" t="s">
        <v>146</v>
      </c>
      <c r="B29" s="83"/>
      <c r="C29" s="84" t="s">
        <v>147</v>
      </c>
      <c r="D29" s="84"/>
      <c r="E29" s="84"/>
      <c r="F29" s="84"/>
      <c r="G29" s="84" t="s">
        <v>148</v>
      </c>
      <c r="H29" s="84"/>
    </row>
    <row r="30" spans="1:8" ht="45.25" customHeight="1" x14ac:dyDescent="0.2">
      <c r="A30" s="79" t="s">
        <v>149</v>
      </c>
      <c r="B30" s="79"/>
      <c r="C30" s="80" t="s">
        <v>150</v>
      </c>
      <c r="D30" s="80"/>
      <c r="E30" s="80"/>
      <c r="F30" s="80"/>
      <c r="G30" s="80" t="s">
        <v>151</v>
      </c>
      <c r="H30" s="80"/>
    </row>
    <row r="32" spans="1:8" ht="32" customHeight="1" x14ac:dyDescent="0.2">
      <c r="A32" s="85" t="s">
        <v>152</v>
      </c>
      <c r="B32" s="85"/>
      <c r="C32" s="85"/>
      <c r="D32" s="85"/>
      <c r="E32" s="85"/>
      <c r="F32" s="85"/>
      <c r="G32" s="85"/>
      <c r="H32" s="85"/>
    </row>
    <row r="33" spans="1:8" ht="32" customHeight="1" x14ac:dyDescent="0.2">
      <c r="A33" s="85"/>
      <c r="B33" s="85"/>
      <c r="C33" s="85"/>
      <c r="D33" s="85"/>
      <c r="E33" s="85"/>
      <c r="F33" s="85"/>
      <c r="G33" s="85"/>
      <c r="H33" s="85"/>
    </row>
    <row r="35" spans="1:8" x14ac:dyDescent="0.2">
      <c r="A35" s="75" t="s">
        <v>153</v>
      </c>
      <c r="B35" s="75"/>
      <c r="C35" s="75"/>
      <c r="D35" s="75"/>
      <c r="E35" s="75"/>
      <c r="F35" s="75"/>
      <c r="G35" s="75"/>
      <c r="H35" s="75"/>
    </row>
    <row r="36" spans="1:8" ht="32" customHeight="1" x14ac:dyDescent="0.2">
      <c r="A36" s="76" t="s">
        <v>154</v>
      </c>
      <c r="B36" s="76"/>
      <c r="C36" s="76"/>
      <c r="D36" s="76"/>
      <c r="E36" s="76"/>
      <c r="F36" s="76"/>
      <c r="G36" s="76"/>
      <c r="H36" s="76"/>
    </row>
    <row r="37" spans="1:8" ht="32" customHeight="1" x14ac:dyDescent="0.2">
      <c r="A37" s="76"/>
      <c r="B37" s="76"/>
      <c r="C37" s="76"/>
      <c r="D37" s="76"/>
      <c r="E37" s="76"/>
      <c r="F37" s="76"/>
      <c r="G37" s="76"/>
      <c r="H37" s="76"/>
    </row>
    <row r="38" spans="1:8" ht="32" customHeight="1" x14ac:dyDescent="0.2">
      <c r="A38" s="76"/>
      <c r="B38" s="76"/>
      <c r="C38" s="76"/>
      <c r="D38" s="76"/>
      <c r="E38" s="76"/>
      <c r="F38" s="76"/>
      <c r="G38" s="76"/>
      <c r="H38" s="76"/>
    </row>
    <row r="40" spans="1:8" ht="34.75" customHeight="1" x14ac:dyDescent="0.2">
      <c r="A40" s="86" t="s">
        <v>155</v>
      </c>
      <c r="B40" s="86"/>
      <c r="C40" s="86"/>
      <c r="D40" s="86"/>
      <c r="E40" s="86"/>
      <c r="F40" s="86"/>
      <c r="G40" s="86"/>
      <c r="H40" s="86"/>
    </row>
    <row r="41" spans="1:8" ht="34.75" customHeight="1" x14ac:dyDescent="0.2">
      <c r="A41" s="86"/>
      <c r="B41" s="86"/>
      <c r="C41" s="86"/>
      <c r="D41" s="86"/>
      <c r="E41" s="86"/>
      <c r="F41" s="86"/>
      <c r="G41" s="86"/>
      <c r="H41" s="86"/>
    </row>
    <row r="42" spans="1:8" ht="34.75" customHeight="1" x14ac:dyDescent="0.2">
      <c r="A42" s="86"/>
      <c r="B42" s="86"/>
      <c r="C42" s="86"/>
      <c r="D42" s="86"/>
      <c r="E42" s="86"/>
      <c r="F42" s="86"/>
      <c r="G42" s="86"/>
      <c r="H42" s="86"/>
    </row>
    <row r="43" spans="1:8" ht="34.75" customHeight="1" x14ac:dyDescent="0.2">
      <c r="A43" s="86"/>
      <c r="B43" s="86"/>
      <c r="C43" s="86"/>
      <c r="D43" s="86"/>
      <c r="E43" s="86"/>
      <c r="F43" s="86"/>
      <c r="G43" s="86"/>
      <c r="H43" s="86"/>
    </row>
    <row r="45" spans="1:8" x14ac:dyDescent="0.2">
      <c r="A45" s="72" t="s">
        <v>156</v>
      </c>
      <c r="B45" s="72"/>
      <c r="C45" s="72"/>
      <c r="D45" s="72"/>
      <c r="E45" s="72"/>
      <c r="F45" s="72"/>
      <c r="G45" s="72"/>
      <c r="H45" s="72"/>
    </row>
  </sheetData>
  <mergeCells count="38">
    <mergeCell ref="A32:H33"/>
    <mergeCell ref="A35:H35"/>
    <mergeCell ref="A36:H38"/>
    <mergeCell ref="A40:H43"/>
    <mergeCell ref="A45:H45"/>
    <mergeCell ref="A29:B29"/>
    <mergeCell ref="C29:F29"/>
    <mergeCell ref="G29:H29"/>
    <mergeCell ref="A30:B30"/>
    <mergeCell ref="C30:F30"/>
    <mergeCell ref="G30:H30"/>
    <mergeCell ref="A27:B27"/>
    <mergeCell ref="C27:F27"/>
    <mergeCell ref="G27:H27"/>
    <mergeCell ref="A28:B28"/>
    <mergeCell ref="C28:F28"/>
    <mergeCell ref="G28:H28"/>
    <mergeCell ref="A23:B23"/>
    <mergeCell ref="C23:H23"/>
    <mergeCell ref="A24:B24"/>
    <mergeCell ref="C24:H24"/>
    <mergeCell ref="A26:H26"/>
    <mergeCell ref="A20:B20"/>
    <mergeCell ref="C20:H20"/>
    <mergeCell ref="A21:B21"/>
    <mergeCell ref="C21:H21"/>
    <mergeCell ref="A22:B22"/>
    <mergeCell ref="C22:H22"/>
    <mergeCell ref="A11:H13"/>
    <mergeCell ref="A14:H16"/>
    <mergeCell ref="A18:H18"/>
    <mergeCell ref="A19:B19"/>
    <mergeCell ref="C19:H19"/>
    <mergeCell ref="A1:H2"/>
    <mergeCell ref="A3:H3"/>
    <mergeCell ref="A5:H5"/>
    <mergeCell ref="A6:H8"/>
    <mergeCell ref="A10:H1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1. Summary</vt:lpstr>
      <vt:lpstr>2. Panel Baseline</vt:lpstr>
      <vt:lpstr>3. Card Performance</vt:lpstr>
      <vt:lpstr>4. Card 29 context</vt:lpstr>
      <vt:lpstr>5. Scenario Analysis</vt:lpstr>
      <vt:lpstr>6. Sensitivity</vt:lpstr>
      <vt:lpstr>7. Methodology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STAVROS ROSSOS</cp:lastModifiedBy>
  <dcterms:modified xsi:type="dcterms:W3CDTF">2026-09-06T07:07:22Z</dcterms:modified>
</cp:coreProperties>
</file>