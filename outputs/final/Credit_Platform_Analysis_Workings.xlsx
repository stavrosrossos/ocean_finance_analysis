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30"/>
  <workbookPr defaultThemeVersion="124226"/>
  <mc:AlternateContent xmlns:mc="http://schemas.openxmlformats.org/markup-compatibility/2006">
    <mc:Choice Requires="x15">
      <x15ac:absPath xmlns:x15ac="http://schemas.microsoft.com/office/spreadsheetml/2010/11/ac" url="/Users/stavrosrossos/Desktop/ocean_finance_analysis/outputs/final/"/>
    </mc:Choice>
  </mc:AlternateContent>
  <xr:revisionPtr revIDLastSave="0" documentId="13_ncr:1_{A3ECA55E-9A38-B84E-9D85-103FC6B3DB67}" xr6:coauthVersionLast="47" xr6:coauthVersionMax="47" xr10:uidLastSave="{00000000-0000-0000-0000-000000000000}"/>
  <bookViews>
    <workbookView xWindow="0" yWindow="660" windowWidth="29400" windowHeight="18460" activeTab="6" xr2:uid="{00000000-000D-0000-FFFF-FFFF00000000}"/>
  </bookViews>
  <sheets>
    <sheet name="1. Summary" sheetId="1" r:id="rId1"/>
    <sheet name="2. Panel Baseline" sheetId="2" r:id="rId2"/>
    <sheet name="3. Card Performance" sheetId="3" r:id="rId3"/>
    <sheet name="4. Card29 Context" sheetId="4" r:id="rId4"/>
    <sheet name="5. Intervention Population" sheetId="5" r:id="rId5"/>
    <sheet name="6. Redistribution Model" sheetId="6" r:id="rId6"/>
    <sheet name="7. Break-even Sensitivity" sheetId="7" r:id="rId7"/>
    <sheet name="8. Methodology" sheetId="8" r:id="rId8"/>
  </sheets>
  <calcPr calcId="124519"/>
</workbook>
</file>

<file path=xl/sharedStrings.xml><?xml version="1.0" encoding="utf-8"?>
<sst xmlns="http://schemas.openxmlformats.org/spreadsheetml/2006/main" count="220" uniqueCount="166">
  <si>
    <t>Credit Card Panel Performance Review</t>
  </si>
  <si>
    <t>Summary intentionally left as a paste-ready placeholder. Paste the final executive Summary sheet here after the working sheets are generated.</t>
  </si>
  <si>
    <t>total_applications</t>
  </si>
  <si>
    <t>total_offers</t>
  </si>
  <si>
    <t>applications_with_click</t>
  </si>
  <si>
    <t>total_clicks</t>
  </si>
  <si>
    <t>total_sales</t>
  </si>
  <si>
    <t>total_revenue</t>
  </si>
  <si>
    <t>application_clickout_rate</t>
  </si>
  <si>
    <t>offer_click_through_rate</t>
  </si>
  <si>
    <t>click_to_sale_rate</t>
  </si>
  <si>
    <t>revenue_per_click</t>
  </si>
  <si>
    <t>revenue_per_application</t>
  </si>
  <si>
    <t>sales_per_100_applications</t>
  </si>
  <si>
    <t>card_id</t>
  </si>
  <si>
    <t>offers</t>
  </si>
  <si>
    <t>clicks</t>
  </si>
  <si>
    <t>click_through_rate</t>
  </si>
  <si>
    <t>sales</t>
  </si>
  <si>
    <t>revenue</t>
  </si>
  <si>
    <t>revenue_per_offer</t>
  </si>
  <si>
    <t>revenue_per_sale</t>
  </si>
  <si>
    <t>avg_apr</t>
  </si>
  <si>
    <t>avg_likelihood</t>
  </si>
  <si>
    <t>avg_apr_rank</t>
  </si>
  <si>
    <t>avg_likelihood_rank</t>
  </si>
  <si>
    <t>Card 29</t>
  </si>
  <si>
    <t>Card 30</t>
  </si>
  <si>
    <t>Card 7</t>
  </si>
  <si>
    <t>Card 9</t>
  </si>
  <si>
    <t>Card 23</t>
  </si>
  <si>
    <t>Card 4</t>
  </si>
  <si>
    <t>Card 31</t>
  </si>
  <si>
    <t>Card 24</t>
  </si>
  <si>
    <t>Card 8</t>
  </si>
  <si>
    <t>Card 2</t>
  </si>
  <si>
    <t>Card 25</t>
  </si>
  <si>
    <t>Card 14</t>
  </si>
  <si>
    <t>Card 10</t>
  </si>
  <si>
    <t>Card 15</t>
  </si>
  <si>
    <t>Card 22</t>
  </si>
  <si>
    <t>Card 3</t>
  </si>
  <si>
    <t>Card 18</t>
  </si>
  <si>
    <t>Card 1</t>
  </si>
  <si>
    <t>Card 6</t>
  </si>
  <si>
    <t>Card 11</t>
  </si>
  <si>
    <t>Card 12</t>
  </si>
  <si>
    <t>Card 27</t>
  </si>
  <si>
    <t>Card 16</t>
  </si>
  <si>
    <t>Card 17</t>
  </si>
  <si>
    <t>Card 5</t>
  </si>
  <si>
    <t>Card 20</t>
  </si>
  <si>
    <t>Card 28</t>
  </si>
  <si>
    <t>Card 19</t>
  </si>
  <si>
    <t>Card 26</t>
  </si>
  <si>
    <t>Card 21</t>
  </si>
  <si>
    <t>Card 13</t>
  </si>
  <si>
    <t>Card 34</t>
  </si>
  <si>
    <t>Card 33</t>
  </si>
  <si>
    <t>Card 32</t>
  </si>
  <si>
    <t>competitor_card</t>
  </si>
  <si>
    <t>applications_together</t>
  </si>
  <si>
    <t>card29_clicks</t>
  </si>
  <si>
    <t>competitor_clicks</t>
  </si>
  <si>
    <t>card29_click_rate</t>
  </si>
  <si>
    <t>competitor_click_rate</t>
  </si>
  <si>
    <t>click_rate_multiple</t>
  </si>
  <si>
    <t>same_likelihood_rate</t>
  </si>
  <si>
    <t>card29_higher_likelihood_rate</t>
  </si>
  <si>
    <t>card29_lower_apr_rate</t>
  </si>
  <si>
    <t>Conditional Card 29 Intervention Population</t>
  </si>
  <si>
    <t>Card 29 is retained when it is the applicant's only offer and suppressed only where alternatives exist.</t>
  </si>
  <si>
    <t>CARD 29 CLICKERS</t>
  </si>
  <si>
    <t>SUPPRESS WHEN ALTERNATIVE EXISTS</t>
  </si>
  <si>
    <t>SHARE AFFECTED</t>
  </si>
  <si>
    <t>RETAIN AS SOLE OFFER</t>
  </si>
  <si>
    <t>Interpretation: 315 of 398 Card 29 clickers (79.1%) had at least one alternative. The remaining 83 had no alternative, so Card 29 cannot be diverting them from another offer and is retained under the practical intervention.</t>
  </si>
  <si>
    <t>Alternatives after suppressing Card 29</t>
  </si>
  <si>
    <t>alternative_count</t>
  </si>
  <si>
    <t>applications</t>
  </si>
  <si>
    <t>share</t>
  </si>
  <si>
    <t>Number of cards tied at likelihood rank 1</t>
  </si>
  <si>
    <t>number_of_rank1_cards</t>
  </si>
  <si>
    <t>61.3% of affected applicants have more than one card tied at likelihood rank 1 after suppression. Therefore a deterministic 'next-best card' assumption is not appropriate for most affected customers.</t>
  </si>
  <si>
    <t>Empirically Anchored Redistribution Model</t>
  </si>
  <si>
    <t>Post-suppression likelihood ranks are recomputed and matched to historical Card-29-absent behaviour.</t>
  </si>
  <si>
    <t>AFFECTED APPLICANTS</t>
  </si>
  <si>
    <t>EMPIRICALLY SUPPORTED</t>
  </si>
  <si>
    <t>SUPPORTED SHARE</t>
  </si>
  <si>
    <t>RESIDUAL SENSITIVITY</t>
  </si>
  <si>
    <t>For 282 of 315 affected applicants (89.5%), the post-suppression rank-1 card set had at least 10 historical Card-29-absent observations. Likelihood rank 1 captured 95.6% of historical clicks, so redistribution is anchored to observed top-ranked-card behaviour rather than assuming customers always transfer.</t>
  </si>
  <si>
    <t>EXPECTED REPLACEMENT CLICKS</t>
  </si>
  <si>
    <t>EXPECTED SALES</t>
  </si>
  <si>
    <t>EXPECTED REVENUE</t>
  </si>
  <si>
    <t>MODELED POPULATION</t>
  </si>
  <si>
    <t>Expected redistribution by destination card</t>
  </si>
  <si>
    <t>card</t>
  </si>
  <si>
    <t>expected_clicks</t>
  </si>
  <si>
    <t>observed_conversion</t>
  </si>
  <si>
    <t>expected_sales</t>
  </si>
  <si>
    <t>expected_revenue</t>
  </si>
  <si>
    <t>Model scope: the expected click/sales/revenue figures above cover only the 282 empirically supported applicants. The remaining 33 are excluded from the point estimate and handled through sensitivity analysis. Lower-ranked clicks are also excluded because lower-card availability differs across otherwise comparable panels; they represented only 4.4% of historical clicks.</t>
  </si>
  <si>
    <t>Conditional Suppression Break-even Sensitivity</t>
  </si>
  <si>
    <t>Break-even depends on the two behaviours that cannot be observed directly from the supplied card-level sales data.</t>
  </si>
  <si>
    <t>SUPPORTED REPLACEMENT REVENUE</t>
  </si>
  <si>
    <t>RESIDUAL 33: 100% TRANSFER REVENUE</t>
  </si>
  <si>
    <t>MIN RETAINED SALES FOR BREAK-EVEN TO BE POSSIBLE</t>
  </si>
  <si>
    <t>RETAINED SALES FOR SUPPORTED 282 ALONE TO BREAK EVEN</t>
  </si>
  <si>
    <t>Illustrative proportional reference: if the 83 retained Card 29 clickers converted at Card 29's overall observed rate, they would account for about 13 sales. At 13 retained sales (£572 retained revenue), the residual 33 need approximately 14.2% transfer to break even. This is an illustrative assumption for sensitivity context, not an observed subgroup result.</t>
  </si>
  <si>
    <t>Key break-even reference points</t>
  </si>
  <si>
    <t>retained_card29_sales</t>
  </si>
  <si>
    <t>retained_card29_revenue</t>
  </si>
  <si>
    <t>affected_revenue_to_replace</t>
  </si>
  <si>
    <t>required_residual_transfer</t>
  </si>
  <si>
    <t>Full sensitivity matrix — revenue change vs current affected Card 29 baseline</t>
  </si>
  <si>
    <t>retained_sales</t>
  </si>
  <si>
    <t>0%</t>
  </si>
  <si>
    <t>10%</t>
  </si>
  <si>
    <t>20%</t>
  </si>
  <si>
    <t>30%</t>
  </si>
  <si>
    <t>40%</t>
  </si>
  <si>
    <t>50%</t>
  </si>
  <si>
    <t>60%</t>
  </si>
  <si>
    <t>70%</t>
  </si>
  <si>
    <t>80%</t>
  </si>
  <si>
    <t>90%</t>
  </si>
  <si>
    <t>100%</t>
  </si>
  <si>
    <t>Residual transfer rate</t>
  </si>
  <si>
    <t>0 retained sales</t>
  </si>
  <si>
    <t>10 retained sales</t>
  </si>
  <si>
    <t>13 retained sales</t>
  </si>
  <si>
    <t>15 retained sales</t>
  </si>
  <si>
    <t>How to read the sensitivity: rows represent the unknown number of Card 29 sales generated by the 83 customers who keep Card 29; columns represent the transfer rate among the residual 33 applicants. Green cells indicate modeled revenue above the current affected Card 29 baseline; red cells indicate below baseline.</t>
  </si>
  <si>
    <t>Residual 33 ceiling: if all 33 transfer once, their modelled destination-card economics imply £397.06 revenue and 10.27 sales. The sensitivity analysis does not claim an exact transfer rate for these sparse states.</t>
  </si>
  <si>
    <t>Analysis Approach &amp; Assumptions</t>
  </si>
  <si>
    <t>Observed panel diagnosis followed by a conditional Card 29 counterfactual.</t>
  </si>
  <si>
    <t>1. Business question</t>
  </si>
  <si>
    <t>The supplied data were used to assess whether any card appears to harm panel performance. Card 29 was identified as the strongest intervention candidate because it attracts substantial click volume while monetising weakly downstream. The final intervention is conditional rather than panel-wide: retain Card 29 when it is the only offer; suppress/deprioritise it when another offer exists.</t>
  </si>
  <si>
    <t>2. Observed analysis</t>
  </si>
  <si>
    <t>Panel and card metrics are calculated directly from the supplied quote and sales data. Same-application comparisons are used to understand Card 29's competitive context. The observed diagnosis does not assume causality: stronger click attraction combined with weaker downstream conversion creates a plausible diversion risk, not proof that every Card 29 click would move elsewhere if the card were suppressed.</t>
  </si>
  <si>
    <t>3. Conditional counterfactual</t>
  </si>
  <si>
    <t>A</t>
  </si>
  <si>
    <t>Identify population</t>
  </si>
  <si>
    <t>398 Card 29 clickers → retain for 83 sole-offer applicants; suppress for 315 with ≥1 alternative.</t>
  </si>
  <si>
    <t>B</t>
  </si>
  <si>
    <t>Recompute ranking</t>
  </si>
  <si>
    <t>Remove Card 29 from affected applications and recompute likelihood/APR ranks using the supplied competition/min ranking convention.</t>
  </si>
  <si>
    <t>C</t>
  </si>
  <si>
    <t>Historical behavioural anchor</t>
  </si>
  <si>
    <t>Use applications where Card 29 was absent to observe click/no-click behaviour for the same post-suppression rank-1 card set.</t>
  </si>
  <si>
    <t>D</t>
  </si>
  <si>
    <t>Support threshold</t>
  </si>
  <si>
    <t>Rank-1 states with ≥10 historical applications are treated as empirically supported: 282/315 affected applicants (89.5%).</t>
  </si>
  <si>
    <t>E</t>
  </si>
  <si>
    <t>Point estimate</t>
  </si>
  <si>
    <t>For supported states, estimate destination-card clicks from historical behaviour, then apply each destination card's observed click→sale conversion and revenue/click.</t>
  </si>
  <si>
    <t>F</t>
  </si>
  <si>
    <t>Residual uncertainty</t>
  </si>
  <si>
    <t>The remaining 33 sparse-state applicants are not point-estimated; their transfer rate is sensitivity-tested.</t>
  </si>
  <si>
    <t>G</t>
  </si>
  <si>
    <t>Break-even</t>
  </si>
  <si>
    <t>Because Card 29 sales are only available at card level, retained Card 29 sales among the 83 sole-offer users are also sensitivity-tested.</t>
  </si>
  <si>
    <t>4. Key assumptions / limitations</t>
  </si>
  <si>
    <t>• Sales and revenue are supplied only at card level, not application level. Therefore Card 29's 63 sales cannot be directly split between the 83 retained sole-offer clickers and the 315 affected clickers.
• A redirected click is assumed to monetise at the destination card's observed overall click→sale conversion and revenue/click.
• Historical redistribution is anchored to the post-suppression likelihood-rank-1 card set. Lower-ranked clicks are excluded from the point estimate because lower-card availability differs across otherwise comparable panels; they represented 4.4% of historical clicks.
• Counterfactual outputs are modelled estimates, not causal measurements of what will happen after a product change.</t>
  </si>
  <si>
    <t>5. Decision use</t>
  </si>
  <si>
    <t>The analysis supports a controlled conditional suppression/deprioritisation test rather than immediate permanent removal. Primary KPI: revenue per application. Secondary monitoring: sales/application, application clickout rate, click→sale conversion and redistribution across remaining cards. The break-even matrix shows the range of outcomes consistent with the two behaviours that are not observable directly in the supplied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</si>
</sst>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
    <numFmt numFmtId="166" formatCode="0.00&quot;x&quot;"/>
    <numFmt numFmtId="167" formatCode="\+\£#,##0;[Red]\-\£#,##0;\£0"/>
  </numFmts>
  <fonts count="12" x14ac:knownFonts="1">
    <font>
      <sz val="11"/>
      <color theme="1"/>
      <name val="Calibri"/>
      <family val="2"/>
      <scheme val="minor"/>
    </font>
    <font>
      <b/>
      <sz val="20"/>
      <color rgb="FFFFFFFF"/>
      <name val="Calibri"/>
      <family val="2"/>
      <scheme val="minor"/>
    </font>
    <font>
      <sz val="9"/>
      <color rgb="FF1F2937"/>
      <name val="Calibri"/>
      <family val="2"/>
      <scheme val="minor"/>
    </font>
    <font>
      <b/>
      <sz val="11"/>
      <color rgb="FFFFFFFF"/>
      <name val="Calibri"/>
      <family val="2"/>
      <scheme val="minor"/>
    </font>
    <font>
      <i/>
      <sz val="10"/>
      <color rgb="FF5F6B76"/>
      <name val="Calibri"/>
      <family val="2"/>
      <scheme val="minor"/>
    </font>
    <font>
      <b/>
      <sz val="9"/>
      <color rgb="FF0F5D75"/>
      <name val="Calibri"/>
      <family val="2"/>
      <scheme val="minor"/>
    </font>
    <font>
      <b/>
      <sz val="16"/>
      <color rgb="FF1F2937"/>
      <name val="Calibri"/>
      <family val="2"/>
      <scheme val="minor"/>
    </font>
    <font>
      <sz val="9"/>
      <color rgb="FF6B4E00"/>
      <name val="Calibri"/>
      <family val="2"/>
      <scheme val="minor"/>
    </font>
    <font>
      <b/>
      <sz val="11"/>
      <color rgb="FF163A4A"/>
      <name val="Calibri"/>
      <family val="2"/>
      <scheme val="minor"/>
    </font>
    <font>
      <sz val="9"/>
      <color rgb="FF176B3A"/>
      <name val="Calibri"/>
      <family val="2"/>
      <scheme val="minor"/>
    </font>
    <font>
      <i/>
      <sz val="8"/>
      <color rgb="FF5F6B76"/>
      <name val="Calibri"/>
      <family val="2"/>
      <scheme val="minor"/>
    </font>
    <font>
      <sz val="10"/>
      <color rgb="FF1F2937"/>
      <name val="Calibri"/>
      <family val="2"/>
      <scheme val="minor"/>
    </font>
  </fonts>
  <fills count="9">
    <fill>
      <patternFill patternType="none"/>
    </fill>
    <fill>
      <patternFill patternType="gray125"/>
    </fill>
    <fill>
      <patternFill patternType="solid">
        <fgColor rgb="FF0F5D75"/>
        <bgColor indexed="64"/>
      </patternFill>
    </fill>
    <fill>
      <patternFill patternType="solid">
        <fgColor rgb="FFF3F4F6"/>
        <bgColor indexed="64"/>
      </patternFill>
    </fill>
    <fill>
      <patternFill patternType="solid">
        <fgColor rgb="FFEAF4F8"/>
        <bgColor indexed="64"/>
      </patternFill>
    </fill>
    <fill>
      <patternFill patternType="solid">
        <fgColor rgb="FFFFF2CC"/>
        <bgColor indexed="64"/>
      </patternFill>
    </fill>
    <fill>
      <patternFill patternType="solid">
        <fgColor rgb="FFD9EAF2"/>
        <bgColor indexed="64"/>
      </patternFill>
    </fill>
    <fill>
      <patternFill patternType="solid">
        <fgColor rgb="FF2F7E96"/>
        <bgColor indexed="64"/>
      </patternFill>
    </fill>
    <fill>
      <patternFill patternType="solid">
        <fgColor rgb="FFE8F5E9"/>
        <bgColor indexed="64"/>
      </patternFill>
    </fill>
  </fills>
  <borders count="2">
    <border>
      <left/>
      <right/>
      <top/>
      <bottom/>
      <diagonal/>
    </border>
    <border>
      <left style="thin">
        <color rgb="FFD7E3E8"/>
      </left>
      <right style="thin">
        <color rgb="FFD7E3E8"/>
      </right>
      <top style="thin">
        <color rgb="FFD7E3E8"/>
      </top>
      <bottom style="thin">
        <color rgb="FFD7E3E8"/>
      </bottom>
      <diagonal/>
    </border>
  </borders>
  <cellStyleXfs count="1">
    <xf numFmtId="0" fontId="0" fillId="0" borderId="0"/>
  </cellStyleXfs>
  <cellXfs count="22">
    <xf numFmtId="0" fontId="0" fillId="0" borderId="0" xfId="0"/>
    <xf numFmtId="0" fontId="3" fillId="2" borderId="0" xfId="0" applyFont="1" applyFill="1" applyAlignment="1">
      <alignment horizontal="center" vertical="center" wrapText="1"/>
    </xf>
    <xf numFmtId="3" fontId="2" fillId="0" borderId="0" xfId="0" applyNumberFormat="1" applyFont="1" applyAlignment="1">
      <alignment horizontal="center"/>
    </xf>
    <xf numFmtId="164" fontId="2" fillId="0" borderId="0" xfId="0" applyNumberFormat="1" applyFont="1" applyAlignment="1">
      <alignment horizontal="center"/>
    </xf>
    <xf numFmtId="165" fontId="2" fillId="0" borderId="0" xfId="0" applyNumberFormat="1" applyFont="1" applyAlignment="1">
      <alignment horizontal="center"/>
    </xf>
    <xf numFmtId="166" fontId="2" fillId="0" borderId="0" xfId="0" applyNumberFormat="1" applyFont="1" applyAlignment="1">
      <alignment horizontal="center"/>
    </xf>
    <xf numFmtId="0" fontId="5" fillId="4" borderId="1" xfId="0" applyFont="1" applyFill="1" applyBorder="1" applyAlignment="1">
      <alignment horizontal="center" vertical="center" wrapText="1"/>
    </xf>
    <xf numFmtId="3" fontId="6" fillId="0" borderId="1" xfId="0" applyNumberFormat="1" applyFont="1" applyBorder="1" applyAlignment="1">
      <alignment horizontal="center" vertical="center"/>
    </xf>
    <xf numFmtId="165" fontId="6" fillId="0" borderId="1" xfId="0" applyNumberFormat="1" applyFont="1" applyBorder="1" applyAlignment="1">
      <alignment horizontal="center" vertical="center"/>
    </xf>
    <xf numFmtId="0" fontId="3" fillId="7" borderId="0" xfId="0" applyFont="1" applyFill="1" applyAlignment="1">
      <alignment horizontal="center" vertical="center" wrapText="1"/>
    </xf>
    <xf numFmtId="2" fontId="6"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2" fontId="2" fillId="0" borderId="0" xfId="0" applyNumberFormat="1" applyFont="1" applyAlignment="1">
      <alignment horizontal="center"/>
    </xf>
    <xf numFmtId="167" fontId="2" fillId="0" borderId="0" xfId="0" applyNumberFormat="1" applyFont="1" applyAlignment="1">
      <alignment horizontal="center"/>
    </xf>
    <xf numFmtId="0" fontId="1" fillId="2" borderId="0" xfId="0" applyFont="1" applyFill="1" applyAlignment="1">
      <alignment vertical="center"/>
    </xf>
    <xf numFmtId="0" fontId="2" fillId="3" borderId="0" xfId="0" applyFont="1" applyFill="1" applyAlignment="1">
      <alignment vertical="center" wrapText="1"/>
    </xf>
    <xf numFmtId="0" fontId="4" fillId="0" borderId="0" xfId="0" applyFont="1"/>
    <xf numFmtId="0" fontId="7" fillId="5" borderId="0" xfId="0" applyFont="1" applyFill="1" applyAlignment="1">
      <alignment vertical="center" wrapText="1"/>
    </xf>
    <xf numFmtId="0" fontId="8" fillId="6" borderId="0" xfId="0" applyFont="1" applyFill="1" applyAlignment="1">
      <alignment vertical="center"/>
    </xf>
    <xf numFmtId="0" fontId="9" fillId="8" borderId="0" xfId="0" applyFont="1" applyFill="1" applyAlignment="1">
      <alignment vertical="center" wrapText="1"/>
    </xf>
    <xf numFmtId="0" fontId="10" fillId="0" borderId="0" xfId="0" applyFont="1"/>
    <xf numFmtId="0" fontId="11" fillId="0" borderId="0" xfId="0" applyFont="1" applyAlignment="1">
      <alignment vertical="top" wrapText="1"/>
    </xf>
  </cellXfs>
  <cellStyles count="1">
    <cellStyle name="Normal" xfId="0" builtinId="0"/>
  </cellStyles>
  <dxfs count="3">
    <dxf>
      <fill>
        <patternFill>
          <bgColor rgb="FFEAF4F8"/>
        </patternFill>
      </fill>
    </dxf>
    <dxf>
      <fill>
        <patternFill>
          <bgColor rgb="FFEAF4F8"/>
        </patternFill>
      </fill>
    </dxf>
    <dxf>
      <font>
        <b/>
        <color rgb="FF7A4E00"/>
      </font>
      <fill>
        <patternFill>
          <bgColor rgb="FFFFF2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Revenue impact by residual transfer rate</a:t>
            </a:r>
          </a:p>
        </c:rich>
      </c:tx>
      <c:overlay val="0"/>
    </c:title>
    <c:autoTitleDeleted val="0"/>
    <c:plotArea>
      <c:layout/>
      <c:lineChart>
        <c:grouping val="standard"/>
        <c:varyColors val="0"/>
        <c:ser>
          <c:idx val="0"/>
          <c:order val="0"/>
          <c:tx>
            <c:strRef>
              <c:f>'7. Break-even Sensitivity'!$P$2</c:f>
              <c:strCache>
                <c:ptCount val="1"/>
                <c:pt idx="0">
                  <c:v>0 retained sales</c:v>
                </c:pt>
              </c:strCache>
            </c:strRef>
          </c:tx>
          <c:spPr>
            <a:ln w="19050"/>
          </c:spPr>
          <c:marker>
            <c:symbol val="circle"/>
            <c:size val="4"/>
          </c:marker>
          <c:val>
            <c:numRef>
              <c:f>'7. Break-even Sensitivity'!$P$3:$P$13</c:f>
              <c:numCache>
                <c:formatCode>\+\£#,##0;[Red]\-\£#,##0;\£0</c:formatCode>
                <c:ptCount val="11"/>
                <c:pt idx="0">
                  <c:v>-628.36148939186023</c:v>
                </c:pt>
                <c:pt idx="1">
                  <c:v>-588.65524356263541</c:v>
                </c:pt>
                <c:pt idx="2">
                  <c:v>-548.94899773341012</c:v>
                </c:pt>
                <c:pt idx="3">
                  <c:v>-509.2427519041853</c:v>
                </c:pt>
                <c:pt idx="4">
                  <c:v>-469.53650607496053</c:v>
                </c:pt>
                <c:pt idx="5">
                  <c:v>-429.83026024573519</c:v>
                </c:pt>
                <c:pt idx="6">
                  <c:v>-390.12401441651042</c:v>
                </c:pt>
                <c:pt idx="7">
                  <c:v>-350.41776858728548</c:v>
                </c:pt>
                <c:pt idx="8">
                  <c:v>-310.71152275806031</c:v>
                </c:pt>
                <c:pt idx="9">
                  <c:v>-271.00527692883543</c:v>
                </c:pt>
                <c:pt idx="10">
                  <c:v>-231.29903109961009</c:v>
                </c:pt>
              </c:numCache>
            </c:numRef>
          </c:val>
          <c:smooth val="0"/>
          <c:extLst>
            <c:ext xmlns:c15="http://schemas.microsoft.com/office/drawing/2012/chart" uri="{02D57815-91ED-43cb-92C2-25804820EDAC}">
              <c15:filteredCategoryTitle>
                <c15:cat>
                  <c:multiLvlStrRef>
                    <c:extLst>
                      <c:ext uri="{02D57815-91ED-43cb-92C2-25804820EDAC}">
                        <c15:formulaRef>
                          <c15:sqref>'7. Break-even Sensitivity'!$O$3:$O$13</c15:sqref>
                        </c15:formulaRef>
                      </c:ext>
                    </c:extLst>
                  </c:multiLvlStrRef>
                </c15:cat>
              </c15:filteredCategoryTitle>
            </c:ext>
            <c:ext xmlns:c16="http://schemas.microsoft.com/office/drawing/2014/chart" uri="{C3380CC4-5D6E-409C-BE32-E72D297353CC}">
              <c16:uniqueId val="{00000000-5EC7-D34A-BAB0-861E5139C3ED}"/>
            </c:ext>
          </c:extLst>
        </c:ser>
        <c:ser>
          <c:idx val="1"/>
          <c:order val="1"/>
          <c:tx>
            <c:strRef>
              <c:f>'7. Break-even Sensitivity'!$Q$2</c:f>
              <c:strCache>
                <c:ptCount val="1"/>
                <c:pt idx="0">
                  <c:v>10 retained sales</c:v>
                </c:pt>
              </c:strCache>
            </c:strRef>
          </c:tx>
          <c:val>
            <c:numRef>
              <c:f>'7. Break-even Sensitivity'!$Q$3:$Q$13</c:f>
              <c:numCache>
                <c:formatCode>\+\£#,##0;[Red]\-\£#,##0;\£0</c:formatCode>
                <c:ptCount val="11"/>
                <c:pt idx="0">
                  <c:v>-188.3614893918602</c:v>
                </c:pt>
                <c:pt idx="1">
                  <c:v>-148.65524356263541</c:v>
                </c:pt>
                <c:pt idx="2">
                  <c:v>-108.9489977334101</c:v>
                </c:pt>
                <c:pt idx="3">
                  <c:v>-69.242751904185297</c:v>
                </c:pt>
                <c:pt idx="4">
                  <c:v>-29.536506074960471</c:v>
                </c:pt>
                <c:pt idx="5">
                  <c:v>10.16973975426481</c:v>
                </c:pt>
                <c:pt idx="6">
                  <c:v>49.875985583489637</c:v>
                </c:pt>
                <c:pt idx="7">
                  <c:v>89.582231412714464</c:v>
                </c:pt>
                <c:pt idx="8">
                  <c:v>129.28847724193969</c:v>
                </c:pt>
                <c:pt idx="9">
                  <c:v>168.9947230711646</c:v>
                </c:pt>
                <c:pt idx="10">
                  <c:v>208.70096890038991</c:v>
                </c:pt>
              </c:numCache>
            </c:numRef>
          </c:val>
          <c:smooth val="0"/>
          <c:extLst>
            <c:ext xmlns:c15="http://schemas.microsoft.com/office/drawing/2012/chart" uri="{02D57815-91ED-43cb-92C2-25804820EDAC}">
              <c15:filteredCategoryTitle>
                <c15:cat>
                  <c:multiLvlStrRef>
                    <c:extLst>
                      <c:ext uri="{02D57815-91ED-43cb-92C2-25804820EDAC}">
                        <c15:formulaRef>
                          <c15:sqref>'7. Break-even Sensitivity'!$O$3:$O$13</c15:sqref>
                        </c15:formulaRef>
                      </c:ext>
                    </c:extLst>
                  </c:multiLvlStrRef>
                </c15:cat>
              </c15:filteredCategoryTitle>
            </c:ext>
            <c:ext xmlns:c16="http://schemas.microsoft.com/office/drawing/2014/chart" uri="{C3380CC4-5D6E-409C-BE32-E72D297353CC}">
              <c16:uniqueId val="{00000004-5EC7-D34A-BAB0-861E5139C3ED}"/>
            </c:ext>
          </c:extLst>
        </c:ser>
        <c:ser>
          <c:idx val="2"/>
          <c:order val="2"/>
          <c:tx>
            <c:strRef>
              <c:f>'7. Break-even Sensitivity'!$R$2</c:f>
              <c:strCache>
                <c:ptCount val="1"/>
                <c:pt idx="0">
                  <c:v>13 retained sales</c:v>
                </c:pt>
              </c:strCache>
            </c:strRef>
          </c:tx>
          <c:val>
            <c:numRef>
              <c:f>'7. Break-even Sensitivity'!$R$3:$R$13</c:f>
              <c:numCache>
                <c:formatCode>\+\£#,##0;[Red]\-\£#,##0;\£0</c:formatCode>
                <c:ptCount val="11"/>
                <c:pt idx="0">
                  <c:v>-56.361489391860232</c:v>
                </c:pt>
                <c:pt idx="1">
                  <c:v>-16.655243562635409</c:v>
                </c:pt>
                <c:pt idx="2">
                  <c:v>23.051002266589879</c:v>
                </c:pt>
                <c:pt idx="3">
                  <c:v>62.757248095814703</c:v>
                </c:pt>
                <c:pt idx="4">
                  <c:v>102.4634939250395</c:v>
                </c:pt>
                <c:pt idx="5">
                  <c:v>142.16973975426481</c:v>
                </c:pt>
                <c:pt idx="6">
                  <c:v>181.87598558348961</c:v>
                </c:pt>
                <c:pt idx="7">
                  <c:v>221.58223141271449</c:v>
                </c:pt>
                <c:pt idx="8">
                  <c:v>261.28847724193969</c:v>
                </c:pt>
                <c:pt idx="9">
                  <c:v>300.99472307116457</c:v>
                </c:pt>
                <c:pt idx="10">
                  <c:v>340.70096890038991</c:v>
                </c:pt>
              </c:numCache>
            </c:numRef>
          </c:val>
          <c:smooth val="0"/>
          <c:extLst>
            <c:ext xmlns:c15="http://schemas.microsoft.com/office/drawing/2012/chart" uri="{02D57815-91ED-43cb-92C2-25804820EDAC}">
              <c15:filteredCategoryTitle>
                <c15:cat>
                  <c:multiLvlStrRef>
                    <c:extLst>
                      <c:ext uri="{02D57815-91ED-43cb-92C2-25804820EDAC}">
                        <c15:formulaRef>
                          <c15:sqref>'7. Break-even Sensitivity'!$O$3:$O$13</c15:sqref>
                        </c15:formulaRef>
                      </c:ext>
                    </c:extLst>
                  </c:multiLvlStrRef>
                </c15:cat>
              </c15:filteredCategoryTitle>
            </c:ext>
            <c:ext xmlns:c16="http://schemas.microsoft.com/office/drawing/2014/chart" uri="{C3380CC4-5D6E-409C-BE32-E72D297353CC}">
              <c16:uniqueId val="{00000005-5EC7-D34A-BAB0-861E5139C3ED}"/>
            </c:ext>
          </c:extLst>
        </c:ser>
        <c:ser>
          <c:idx val="3"/>
          <c:order val="3"/>
          <c:tx>
            <c:strRef>
              <c:f>'7. Break-even Sensitivity'!$S$2</c:f>
              <c:strCache>
                <c:ptCount val="1"/>
                <c:pt idx="0">
                  <c:v>15 retained sales</c:v>
                </c:pt>
              </c:strCache>
            </c:strRef>
          </c:tx>
          <c:val>
            <c:numRef>
              <c:f>'7. Break-even Sensitivity'!$S$3:$S$13</c:f>
              <c:numCache>
                <c:formatCode>\+\£#,##0;[Red]\-\£#,##0;\£0</c:formatCode>
                <c:ptCount val="11"/>
                <c:pt idx="0">
                  <c:v>31.638510608139772</c:v>
                </c:pt>
                <c:pt idx="1">
                  <c:v>71.344756437364595</c:v>
                </c:pt>
                <c:pt idx="2">
                  <c:v>111.0510022665899</c:v>
                </c:pt>
                <c:pt idx="3">
                  <c:v>150.7572480958147</c:v>
                </c:pt>
                <c:pt idx="4">
                  <c:v>190.4634939250395</c:v>
                </c:pt>
                <c:pt idx="5">
                  <c:v>230.16973975426481</c:v>
                </c:pt>
                <c:pt idx="6">
                  <c:v>269.87598558348958</c:v>
                </c:pt>
                <c:pt idx="7">
                  <c:v>309.58223141271452</c:v>
                </c:pt>
                <c:pt idx="8">
                  <c:v>349.28847724193969</c:v>
                </c:pt>
                <c:pt idx="9">
                  <c:v>388.99472307116457</c:v>
                </c:pt>
                <c:pt idx="10">
                  <c:v>428.70096890038991</c:v>
                </c:pt>
              </c:numCache>
            </c:numRef>
          </c:val>
          <c:smooth val="0"/>
          <c:extLst>
            <c:ext xmlns:c15="http://schemas.microsoft.com/office/drawing/2012/chart" uri="{02D57815-91ED-43cb-92C2-25804820EDAC}">
              <c15:filteredCategoryTitle>
                <c15:cat>
                  <c:multiLvlStrRef>
                    <c:extLst>
                      <c:ext uri="{02D57815-91ED-43cb-92C2-25804820EDAC}">
                        <c15:formulaRef>
                          <c15:sqref>'7. Break-even Sensitivity'!$O$3:$O$13</c15:sqref>
                        </c15:formulaRef>
                      </c:ext>
                    </c:extLst>
                  </c:multiLvlStrRef>
                </c15:cat>
              </c15:filteredCategoryTitle>
            </c:ext>
            <c:ext xmlns:c16="http://schemas.microsoft.com/office/drawing/2014/chart" uri="{C3380CC4-5D6E-409C-BE32-E72D297353CC}">
              <c16:uniqueId val="{00000006-5EC7-D34A-BAB0-861E5139C3ED}"/>
            </c:ext>
          </c:extLst>
        </c:ser>
        <c:dLbls>
          <c:showLegendKey val="0"/>
          <c:showVal val="0"/>
          <c:showCatName val="0"/>
          <c:showSerName val="0"/>
          <c:showPercent val="0"/>
          <c:showBubbleSize val="0"/>
        </c:dLbls>
        <c:marker val="1"/>
        <c:smooth val="0"/>
        <c:axId val="50010001"/>
        <c:axId val="50010002"/>
      </c:lineChart>
      <c:catAx>
        <c:axId val="50010001"/>
        <c:scaling>
          <c:orientation val="minMax"/>
        </c:scaling>
        <c:delete val="0"/>
        <c:axPos val="b"/>
        <c:title>
          <c:tx>
            <c:rich>
              <a:bodyPr/>
              <a:lstStyle/>
              <a:p>
                <a:pPr>
                  <a:defRPr/>
                </a:pPr>
                <a:r>
                  <a:rPr lang="en-US"/>
                  <a:t>Residual 33 transfer rate</a:t>
                </a:r>
              </a:p>
            </c:rich>
          </c:tx>
          <c:overlay val="0"/>
        </c:title>
        <c:numFmt formatCode="0%" sourceLinked="0"/>
        <c:majorTickMark val="out"/>
        <c:minorTickMark val="none"/>
        <c:tickLblPos val="nextTo"/>
        <c:crossAx val="50010002"/>
        <c:crosses val="autoZero"/>
        <c:auto val="1"/>
        <c:lblAlgn val="ctr"/>
        <c:lblOffset val="100"/>
        <c:noMultiLvlLbl val="0"/>
      </c:catAx>
      <c:valAx>
        <c:axId val="50010002"/>
        <c:scaling>
          <c:orientation val="minMax"/>
        </c:scaling>
        <c:delete val="0"/>
        <c:axPos val="l"/>
        <c:majorGridlines>
          <c:spPr>
            <a:ln>
              <a:solidFill>
                <a:srgbClr val="E5E7EB"/>
              </a:solidFill>
            </a:ln>
          </c:spPr>
        </c:majorGridlines>
        <c:title>
          <c:tx>
            <c:rich>
              <a:bodyPr rot="-5400000" vert="horz"/>
              <a:lstStyle/>
              <a:p>
                <a:pPr>
                  <a:defRPr/>
                </a:pPr>
                <a:r>
                  <a:rPr lang="en-US"/>
                  <a:t>Revenue change vs current affected baseline (£)</a:t>
                </a:r>
              </a:p>
            </c:rich>
          </c:tx>
          <c:overlay val="0"/>
        </c:title>
        <c:numFmt formatCode="\£0;[Red]\-\£0" sourceLinked="0"/>
        <c:majorTickMark val="out"/>
        <c:minorTickMark val="none"/>
        <c:tickLblPos val="nextTo"/>
        <c:crossAx val="50010001"/>
        <c:crosses val="autoZero"/>
        <c:crossBetween val="between"/>
      </c:valAx>
      <c:spPr>
        <a:solidFill>
          <a:srgbClr val="FFFFFF"/>
        </a:solidFill>
        <a:ln>
          <a:noFill/>
        </a:ln>
      </c:spPr>
    </c:plotArea>
    <c:legend>
      <c:legendPos val="b"/>
      <c:overlay val="0"/>
    </c:legend>
    <c:plotVisOnly val="1"/>
    <c:dispBlanksAs val="gap"/>
    <c:showDLblsOverMax val="0"/>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44824</xdr:colOff>
      <xdr:row>12</xdr:row>
      <xdr:rowOff>14941</xdr:rowOff>
    </xdr:from>
    <xdr:to>
      <xdr:col>10</xdr:col>
      <xdr:colOff>711574</xdr:colOff>
      <xdr:row>28</xdr:row>
      <xdr:rowOff>110191</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8"/>
  <sheetViews>
    <sheetView showGridLines="0" zoomScale="90" zoomScaleNormal="90" workbookViewId="0"/>
  </sheetViews>
  <sheetFormatPr baseColWidth="10" defaultColWidth="8.83203125" defaultRowHeight="15" x14ac:dyDescent="0.2"/>
  <cols>
    <col min="1" max="1" width="3.6640625" customWidth="1"/>
    <col min="2" max="8" width="18.6640625" customWidth="1"/>
  </cols>
  <sheetData>
    <row r="2" spans="2:8" x14ac:dyDescent="0.2">
      <c r="B2" s="14" t="s">
        <v>0</v>
      </c>
      <c r="C2" s="14"/>
      <c r="D2" s="14"/>
      <c r="E2" s="14"/>
      <c r="F2" s="14"/>
      <c r="G2" s="14"/>
      <c r="H2" s="14"/>
    </row>
    <row r="3" spans="2:8" x14ac:dyDescent="0.2">
      <c r="B3" s="14"/>
      <c r="C3" s="14"/>
      <c r="D3" s="14"/>
      <c r="E3" s="14"/>
      <c r="F3" s="14"/>
      <c r="G3" s="14"/>
      <c r="H3" s="14"/>
    </row>
    <row r="5" spans="2:8" x14ac:dyDescent="0.2">
      <c r="B5" s="15" t="s">
        <v>1</v>
      </c>
      <c r="C5" s="15"/>
      <c r="D5" s="15"/>
      <c r="E5" s="15"/>
      <c r="F5" s="15"/>
      <c r="G5" s="15"/>
      <c r="H5" s="15"/>
    </row>
    <row r="6" spans="2:8" x14ac:dyDescent="0.2">
      <c r="B6" s="15"/>
      <c r="C6" s="15"/>
      <c r="D6" s="15"/>
      <c r="E6" s="15"/>
      <c r="F6" s="15"/>
      <c r="G6" s="15"/>
      <c r="H6" s="15"/>
    </row>
    <row r="7" spans="2:8" x14ac:dyDescent="0.2">
      <c r="B7" s="15"/>
      <c r="C7" s="15"/>
      <c r="D7" s="15"/>
      <c r="E7" s="15"/>
      <c r="F7" s="15"/>
      <c r="G7" s="15"/>
      <c r="H7" s="15"/>
    </row>
    <row r="8" spans="2:8" x14ac:dyDescent="0.2">
      <c r="B8" s="15"/>
      <c r="C8" s="15"/>
      <c r="D8" s="15"/>
      <c r="E8" s="15"/>
      <c r="F8" s="15"/>
      <c r="G8" s="15"/>
      <c r="H8" s="15"/>
    </row>
  </sheetData>
  <mergeCells count="2">
    <mergeCell ref="B2:H3"/>
    <mergeCell ref="B5:H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
  <sheetViews>
    <sheetView showGridLines="0" zoomScale="90" zoomScaleNormal="90" workbookViewId="0">
      <pane ySplit="1" topLeftCell="A2" activePane="bottomLeft" state="frozen"/>
      <selection pane="bottomLeft"/>
    </sheetView>
  </sheetViews>
  <sheetFormatPr baseColWidth="10" defaultColWidth="8.83203125" defaultRowHeight="15" x14ac:dyDescent="0.2"/>
  <cols>
    <col min="1" max="1" width="16.6640625" customWidth="1"/>
    <col min="2" max="2" width="14.6640625" customWidth="1"/>
    <col min="3" max="3" width="22.6640625" customWidth="1"/>
    <col min="4" max="4" width="14.6640625" customWidth="1"/>
    <col min="5" max="5" width="12.6640625" customWidth="1"/>
    <col min="6" max="6" width="16.6640625" customWidth="1"/>
    <col min="7" max="7" width="23.6640625" customWidth="1"/>
    <col min="8" max="8" width="22.6640625" customWidth="1"/>
    <col min="9" max="9" width="20.6640625" customWidth="1"/>
    <col min="10" max="10" width="18.6640625" customWidth="1"/>
    <col min="11" max="12" width="21.6640625" customWidth="1"/>
  </cols>
  <sheetData>
    <row r="1" spans="1:12" ht="38" customHeight="1" x14ac:dyDescent="0.2">
      <c r="A1" s="1" t="s">
        <v>2</v>
      </c>
      <c r="B1" s="1" t="s">
        <v>3</v>
      </c>
      <c r="C1" s="1" t="s">
        <v>4</v>
      </c>
      <c r="D1" s="1" t="s">
        <v>5</v>
      </c>
      <c r="E1" s="1" t="s">
        <v>6</v>
      </c>
      <c r="F1" s="1" t="s">
        <v>7</v>
      </c>
      <c r="G1" s="1" t="s">
        <v>8</v>
      </c>
      <c r="H1" s="1" t="s">
        <v>9</v>
      </c>
      <c r="I1" s="1" t="s">
        <v>10</v>
      </c>
      <c r="J1" s="1" t="s">
        <v>11</v>
      </c>
      <c r="K1" s="1" t="s">
        <v>12</v>
      </c>
      <c r="L1" s="1" t="s">
        <v>13</v>
      </c>
    </row>
    <row r="2" spans="1:12" x14ac:dyDescent="0.2">
      <c r="A2" s="2">
        <v>3684</v>
      </c>
      <c r="B2" s="2">
        <v>9945</v>
      </c>
      <c r="C2" s="2">
        <v>1841</v>
      </c>
      <c r="D2" s="2">
        <v>1863</v>
      </c>
      <c r="E2" s="2">
        <v>555</v>
      </c>
      <c r="F2" s="3">
        <v>21087.86</v>
      </c>
      <c r="G2" s="4">
        <v>0.499728555917481</v>
      </c>
      <c r="H2" s="4">
        <v>0.18733031674208139</v>
      </c>
      <c r="I2" s="4">
        <v>0.29790660225442828</v>
      </c>
      <c r="J2" s="3">
        <v>11.31930220075148</v>
      </c>
      <c r="K2" s="3">
        <v>5.7241748099891421</v>
      </c>
      <c r="L2">
        <v>15.06514657980456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35"/>
  <sheetViews>
    <sheetView showGridLines="0" zoomScale="85" zoomScaleNormal="85" workbookViewId="0">
      <pane xSplit="1" ySplit="1" topLeftCell="B2" activePane="bottomRight" state="frozen"/>
      <selection pane="topRight" activeCell="B1" sqref="B1"/>
      <selection pane="bottomLeft" activeCell="A2" sqref="A2"/>
      <selection pane="bottomRight"/>
    </sheetView>
  </sheetViews>
  <sheetFormatPr baseColWidth="10" defaultColWidth="8.83203125" defaultRowHeight="15" x14ac:dyDescent="0.2"/>
  <cols>
    <col min="1" max="1" width="12.6640625" customWidth="1"/>
    <col min="2" max="3" width="10.6640625" customWidth="1"/>
    <col min="4" max="4" width="18.6640625" customWidth="1"/>
    <col min="5" max="5" width="10.6640625" customWidth="1"/>
    <col min="6" max="6" width="18.6640625" customWidth="1"/>
    <col min="7" max="7" width="14.6640625" customWidth="1"/>
    <col min="8" max="10" width="17.6640625" customWidth="1"/>
    <col min="11" max="11" width="12.6640625" customWidth="1"/>
    <col min="12" max="12" width="16.6640625" customWidth="1"/>
    <col min="13" max="13" width="15.6640625" customWidth="1"/>
    <col min="14" max="14" width="19.6640625" customWidth="1"/>
  </cols>
  <sheetData>
    <row r="1" spans="1:14" ht="34" customHeight="1" x14ac:dyDescent="0.2">
      <c r="A1" s="1" t="s">
        <v>14</v>
      </c>
      <c r="B1" s="1" t="s">
        <v>15</v>
      </c>
      <c r="C1" s="1" t="s">
        <v>16</v>
      </c>
      <c r="D1" s="1" t="s">
        <v>17</v>
      </c>
      <c r="E1" s="1" t="s">
        <v>18</v>
      </c>
      <c r="F1" s="1" t="s">
        <v>10</v>
      </c>
      <c r="G1" s="1" t="s">
        <v>19</v>
      </c>
      <c r="H1" s="1" t="s">
        <v>11</v>
      </c>
      <c r="I1" s="1" t="s">
        <v>20</v>
      </c>
      <c r="J1" s="1" t="s">
        <v>21</v>
      </c>
      <c r="K1" s="1" t="s">
        <v>22</v>
      </c>
      <c r="L1" s="1" t="s">
        <v>23</v>
      </c>
      <c r="M1" s="1" t="s">
        <v>24</v>
      </c>
      <c r="N1" s="1" t="s">
        <v>25</v>
      </c>
    </row>
    <row r="2" spans="1:14" x14ac:dyDescent="0.2">
      <c r="A2" t="s">
        <v>26</v>
      </c>
      <c r="B2" s="2">
        <v>1596</v>
      </c>
      <c r="C2" s="2">
        <v>398</v>
      </c>
      <c r="D2" s="4">
        <v>0.2493734335839598</v>
      </c>
      <c r="E2" s="2">
        <v>63</v>
      </c>
      <c r="F2" s="4">
        <v>0.1582914572864321</v>
      </c>
      <c r="G2" s="3">
        <v>2772</v>
      </c>
      <c r="H2" s="3">
        <v>6.9648241206030148</v>
      </c>
      <c r="I2" s="3">
        <v>1.736842105263158</v>
      </c>
      <c r="J2" s="3">
        <v>44</v>
      </c>
      <c r="K2">
        <v>29.900000000000869</v>
      </c>
      <c r="L2">
        <v>94.11654135338344</v>
      </c>
      <c r="M2">
        <v>1.705513784461153</v>
      </c>
      <c r="N2">
        <v>1.914160401002506</v>
      </c>
    </row>
    <row r="3" spans="1:14" x14ac:dyDescent="0.2">
      <c r="A3" t="s">
        <v>27</v>
      </c>
      <c r="B3" s="2">
        <v>1600</v>
      </c>
      <c r="C3" s="2">
        <v>281</v>
      </c>
      <c r="D3" s="4">
        <v>0.175625</v>
      </c>
      <c r="E3" s="2">
        <v>89</v>
      </c>
      <c r="F3" s="4">
        <v>0.31672597864768681</v>
      </c>
      <c r="G3" s="3">
        <v>3916</v>
      </c>
      <c r="H3" s="3">
        <v>13.93594306049822</v>
      </c>
      <c r="I3" s="3">
        <v>2.4474999999999998</v>
      </c>
      <c r="J3" s="3">
        <v>44</v>
      </c>
      <c r="K3">
        <v>32.900000000000922</v>
      </c>
      <c r="L3">
        <v>93.087500000000006</v>
      </c>
      <c r="M3">
        <v>2.5274999999999999</v>
      </c>
      <c r="N3">
        <v>1.8631249999999999</v>
      </c>
    </row>
    <row r="4" spans="1:14" x14ac:dyDescent="0.2">
      <c r="A4" t="s">
        <v>28</v>
      </c>
      <c r="B4" s="2">
        <v>487</v>
      </c>
      <c r="C4" s="2">
        <v>185</v>
      </c>
      <c r="D4" s="4">
        <v>0.37987679671457908</v>
      </c>
      <c r="E4" s="2">
        <v>65</v>
      </c>
      <c r="F4" s="4">
        <v>0.35135135135135132</v>
      </c>
      <c r="G4" s="3">
        <v>2210</v>
      </c>
      <c r="H4" s="3">
        <v>11.945945945945949</v>
      </c>
      <c r="I4" s="3">
        <v>4.537987679671458</v>
      </c>
      <c r="J4" s="3">
        <v>34</v>
      </c>
      <c r="K4">
        <v>29.899999999999761</v>
      </c>
      <c r="L4">
        <v>100</v>
      </c>
      <c r="M4">
        <v>1.66735112936345</v>
      </c>
      <c r="N4">
        <v>1</v>
      </c>
    </row>
    <row r="5" spans="1:14" x14ac:dyDescent="0.2">
      <c r="A5" t="s">
        <v>29</v>
      </c>
      <c r="B5" s="2">
        <v>445</v>
      </c>
      <c r="C5" s="2">
        <v>122</v>
      </c>
      <c r="D5" s="4">
        <v>0.27415730337078648</v>
      </c>
      <c r="E5" s="2">
        <v>43</v>
      </c>
      <c r="F5" s="4">
        <v>0.35245901639344263</v>
      </c>
      <c r="G5" s="3">
        <v>1462</v>
      </c>
      <c r="H5" s="3">
        <v>11.983606557377049</v>
      </c>
      <c r="I5" s="3">
        <v>3.2853932584269669</v>
      </c>
      <c r="J5" s="3">
        <v>34</v>
      </c>
      <c r="K5">
        <v>33.899999999999757</v>
      </c>
      <c r="L5">
        <v>100</v>
      </c>
      <c r="M5">
        <v>3.065168539325843</v>
      </c>
      <c r="N5">
        <v>1</v>
      </c>
    </row>
    <row r="6" spans="1:14" x14ac:dyDescent="0.2">
      <c r="A6" t="s">
        <v>30</v>
      </c>
      <c r="B6" s="2">
        <v>300</v>
      </c>
      <c r="C6" s="2">
        <v>92</v>
      </c>
      <c r="D6" s="4">
        <v>0.30666666666666659</v>
      </c>
      <c r="E6" s="2">
        <v>30</v>
      </c>
      <c r="F6" s="4">
        <v>0.32608695652173908</v>
      </c>
      <c r="G6" s="3">
        <v>1050</v>
      </c>
      <c r="H6" s="3">
        <v>11.413043478260869</v>
      </c>
      <c r="I6" s="3">
        <v>3.5</v>
      </c>
      <c r="J6" s="3">
        <v>35</v>
      </c>
      <c r="K6">
        <v>34.700000000000053</v>
      </c>
      <c r="L6">
        <v>100</v>
      </c>
      <c r="M6">
        <v>2.253333333333333</v>
      </c>
      <c r="N6">
        <v>1</v>
      </c>
    </row>
    <row r="7" spans="1:14" x14ac:dyDescent="0.2">
      <c r="A7" t="s">
        <v>31</v>
      </c>
      <c r="B7" s="2">
        <v>218</v>
      </c>
      <c r="C7" s="2">
        <v>84</v>
      </c>
      <c r="D7" s="4">
        <v>0.38532110091743121</v>
      </c>
      <c r="E7" s="2">
        <v>30</v>
      </c>
      <c r="F7" s="4">
        <v>0.3571428571428571</v>
      </c>
      <c r="G7" s="3">
        <v>1020</v>
      </c>
      <c r="H7" s="3">
        <v>12.142857142857141</v>
      </c>
      <c r="I7" s="3">
        <v>4.6788990825688073</v>
      </c>
      <c r="J7" s="3">
        <v>34</v>
      </c>
      <c r="K7">
        <v>34.699999999999868</v>
      </c>
      <c r="L7">
        <v>100</v>
      </c>
      <c r="M7">
        <v>1.972477064220183</v>
      </c>
      <c r="N7">
        <v>1</v>
      </c>
    </row>
    <row r="8" spans="1:14" x14ac:dyDescent="0.2">
      <c r="A8" t="s">
        <v>32</v>
      </c>
      <c r="B8" s="2">
        <v>1458</v>
      </c>
      <c r="C8" s="2">
        <v>80</v>
      </c>
      <c r="D8" s="4">
        <v>5.4869684499314099E-2</v>
      </c>
      <c r="E8" s="2">
        <v>21</v>
      </c>
      <c r="F8" s="4">
        <v>0.26250000000000001</v>
      </c>
      <c r="G8" s="3">
        <v>924</v>
      </c>
      <c r="H8" s="3">
        <v>11.55</v>
      </c>
      <c r="I8" s="3">
        <v>0.63374485596707819</v>
      </c>
      <c r="J8" s="3">
        <v>44</v>
      </c>
      <c r="K8">
        <v>32.900000000000873</v>
      </c>
      <c r="L8">
        <v>92.880658436214006</v>
      </c>
      <c r="M8">
        <v>2.7085048010973942</v>
      </c>
      <c r="N8">
        <v>2.1659807956104249</v>
      </c>
    </row>
    <row r="9" spans="1:14" x14ac:dyDescent="0.2">
      <c r="A9" t="s">
        <v>33</v>
      </c>
      <c r="B9" s="2">
        <v>183</v>
      </c>
      <c r="C9" s="2">
        <v>76</v>
      </c>
      <c r="D9" s="4">
        <v>0.41530054644808739</v>
      </c>
      <c r="E9" s="2">
        <v>25</v>
      </c>
      <c r="F9" s="4">
        <v>0.3289473684210526</v>
      </c>
      <c r="G9" s="3">
        <v>875</v>
      </c>
      <c r="H9" s="3">
        <v>11.513157894736841</v>
      </c>
      <c r="I9" s="3">
        <v>4.7814207650273222</v>
      </c>
      <c r="J9" s="3">
        <v>35</v>
      </c>
      <c r="K9">
        <v>39.899999999999878</v>
      </c>
      <c r="L9">
        <v>100</v>
      </c>
      <c r="M9">
        <v>1.715846994535519</v>
      </c>
      <c r="N9">
        <v>1</v>
      </c>
    </row>
    <row r="10" spans="1:14" x14ac:dyDescent="0.2">
      <c r="A10" t="s">
        <v>34</v>
      </c>
      <c r="B10" s="2">
        <v>269</v>
      </c>
      <c r="C10" s="2">
        <v>75</v>
      </c>
      <c r="D10" s="4">
        <v>0.27881040892193309</v>
      </c>
      <c r="E10" s="2">
        <v>33</v>
      </c>
      <c r="F10" s="4">
        <v>0.44</v>
      </c>
      <c r="G10" s="3">
        <v>1485</v>
      </c>
      <c r="H10" s="3">
        <v>19.8</v>
      </c>
      <c r="I10" s="3">
        <v>5.5204460966542754</v>
      </c>
      <c r="J10" s="3">
        <v>45</v>
      </c>
      <c r="K10">
        <v>34</v>
      </c>
      <c r="L10">
        <v>100</v>
      </c>
      <c r="M10">
        <v>3.550185873605948</v>
      </c>
      <c r="N10">
        <v>1</v>
      </c>
    </row>
    <row r="11" spans="1:14" x14ac:dyDescent="0.2">
      <c r="A11" t="s">
        <v>35</v>
      </c>
      <c r="B11" s="2">
        <v>229</v>
      </c>
      <c r="C11" s="2">
        <v>65</v>
      </c>
      <c r="D11" s="4">
        <v>0.28384279475982532</v>
      </c>
      <c r="E11" s="2">
        <v>31</v>
      </c>
      <c r="F11" s="4">
        <v>0.47692307692307689</v>
      </c>
      <c r="G11" s="3">
        <v>1085</v>
      </c>
      <c r="H11" s="3">
        <v>16.692307692307701</v>
      </c>
      <c r="I11" s="3">
        <v>4.7379912663755466</v>
      </c>
      <c r="J11" s="3">
        <v>35.000000000000007</v>
      </c>
      <c r="K11">
        <v>29.300000000000111</v>
      </c>
      <c r="L11">
        <v>99.956331877729255</v>
      </c>
      <c r="M11">
        <v>2.0786026200873362</v>
      </c>
      <c r="N11">
        <v>1.0131004366812231</v>
      </c>
    </row>
    <row r="12" spans="1:14" x14ac:dyDescent="0.2">
      <c r="A12" t="s">
        <v>36</v>
      </c>
      <c r="B12" s="2">
        <v>301</v>
      </c>
      <c r="C12" s="2">
        <v>63</v>
      </c>
      <c r="D12" s="4">
        <v>0.2093023255813953</v>
      </c>
      <c r="E12" s="2">
        <v>21</v>
      </c>
      <c r="F12" s="4">
        <v>0.33333333333333331</v>
      </c>
      <c r="G12" s="3">
        <v>735</v>
      </c>
      <c r="H12" s="3">
        <v>11.66666666666667</v>
      </c>
      <c r="I12" s="3">
        <v>2.441860465116279</v>
      </c>
      <c r="J12" s="3">
        <v>35</v>
      </c>
      <c r="K12">
        <v>33.899999999999807</v>
      </c>
      <c r="L12">
        <v>100</v>
      </c>
      <c r="M12">
        <v>3.3953488372093021</v>
      </c>
      <c r="N12">
        <v>1</v>
      </c>
    </row>
    <row r="13" spans="1:14" x14ac:dyDescent="0.2">
      <c r="A13" t="s">
        <v>37</v>
      </c>
      <c r="B13" s="2">
        <v>428</v>
      </c>
      <c r="C13" s="2">
        <v>62</v>
      </c>
      <c r="D13" s="4">
        <v>0.14485981308411211</v>
      </c>
      <c r="E13" s="2">
        <v>15</v>
      </c>
      <c r="F13" s="4">
        <v>0.24193548387096769</v>
      </c>
      <c r="G13" s="3">
        <v>525</v>
      </c>
      <c r="H13" s="3">
        <v>8.4677419354838701</v>
      </c>
      <c r="I13" s="3">
        <v>1.226635514018692</v>
      </c>
      <c r="J13" s="3">
        <v>35</v>
      </c>
      <c r="K13">
        <v>59.900000000000361</v>
      </c>
      <c r="L13">
        <v>99.988317757009341</v>
      </c>
      <c r="M13">
        <v>3.3504672897196262</v>
      </c>
      <c r="N13">
        <v>1.002336448598131</v>
      </c>
    </row>
    <row r="14" spans="1:14" x14ac:dyDescent="0.2">
      <c r="A14" t="s">
        <v>38</v>
      </c>
      <c r="B14" s="2">
        <v>224</v>
      </c>
      <c r="C14" s="2">
        <v>61</v>
      </c>
      <c r="D14" s="4">
        <v>0.27232142857142849</v>
      </c>
      <c r="E14" s="2">
        <v>22</v>
      </c>
      <c r="F14" s="4">
        <v>0.36065573770491799</v>
      </c>
      <c r="G14" s="3">
        <v>990</v>
      </c>
      <c r="H14" s="3">
        <v>16.229508196721309</v>
      </c>
      <c r="I14" s="3">
        <v>4.4196428571428568</v>
      </c>
      <c r="J14" s="3">
        <v>45</v>
      </c>
      <c r="K14">
        <v>49</v>
      </c>
      <c r="L14">
        <v>100</v>
      </c>
      <c r="M14">
        <v>2.3348214285714279</v>
      </c>
      <c r="N14">
        <v>1</v>
      </c>
    </row>
    <row r="15" spans="1:14" x14ac:dyDescent="0.2">
      <c r="A15" t="s">
        <v>39</v>
      </c>
      <c r="B15" s="2">
        <v>239</v>
      </c>
      <c r="C15" s="2">
        <v>49</v>
      </c>
      <c r="D15" s="4">
        <v>0.205020920502092</v>
      </c>
      <c r="E15" s="2">
        <v>23</v>
      </c>
      <c r="F15" s="4">
        <v>0.46938775510204078</v>
      </c>
      <c r="G15" s="3">
        <v>643.99999999999989</v>
      </c>
      <c r="H15" s="3">
        <v>13.142857142857141</v>
      </c>
      <c r="I15" s="3">
        <v>2.6945606694560662</v>
      </c>
      <c r="J15" s="3">
        <v>28</v>
      </c>
      <c r="K15">
        <v>39.899999999999821</v>
      </c>
      <c r="L15">
        <v>100</v>
      </c>
      <c r="M15">
        <v>3.514644351464435</v>
      </c>
      <c r="N15">
        <v>1</v>
      </c>
    </row>
    <row r="16" spans="1:14" x14ac:dyDescent="0.2">
      <c r="A16" t="s">
        <v>40</v>
      </c>
      <c r="B16" s="2">
        <v>68</v>
      </c>
      <c r="C16" s="2">
        <v>29</v>
      </c>
      <c r="D16" s="4">
        <v>0.4264705882352941</v>
      </c>
      <c r="E16" s="2">
        <v>11</v>
      </c>
      <c r="F16" s="4">
        <v>0.37931034482758619</v>
      </c>
      <c r="G16" s="3">
        <v>374</v>
      </c>
      <c r="H16" s="3">
        <v>12.896551724137931</v>
      </c>
      <c r="I16" s="3">
        <v>5.5</v>
      </c>
      <c r="J16" s="3">
        <v>34</v>
      </c>
      <c r="K16">
        <v>34.900000000000041</v>
      </c>
      <c r="L16">
        <v>100</v>
      </c>
      <c r="M16">
        <v>2.0147058823529411</v>
      </c>
      <c r="N16">
        <v>1</v>
      </c>
    </row>
    <row r="17" spans="1:14" x14ac:dyDescent="0.2">
      <c r="A17" t="s">
        <v>41</v>
      </c>
      <c r="B17" s="2">
        <v>213</v>
      </c>
      <c r="C17" s="2">
        <v>24</v>
      </c>
      <c r="D17" s="4">
        <v>0.1126760563380281</v>
      </c>
      <c r="E17" s="2">
        <v>11</v>
      </c>
      <c r="F17" s="4">
        <v>0.45833333333333331</v>
      </c>
      <c r="G17" s="3">
        <v>352</v>
      </c>
      <c r="H17" s="3">
        <v>14.66666666666667</v>
      </c>
      <c r="I17" s="3">
        <v>1.652582159624413</v>
      </c>
      <c r="J17" s="3">
        <v>32</v>
      </c>
      <c r="K17">
        <v>29.300000000000111</v>
      </c>
      <c r="L17">
        <v>100</v>
      </c>
      <c r="M17">
        <v>2.150234741784038</v>
      </c>
      <c r="N17">
        <v>1</v>
      </c>
    </row>
    <row r="18" spans="1:14" x14ac:dyDescent="0.2">
      <c r="A18" t="s">
        <v>42</v>
      </c>
      <c r="B18" s="2">
        <v>109</v>
      </c>
      <c r="C18" s="2">
        <v>19</v>
      </c>
      <c r="D18" s="4">
        <v>0.1743119266055046</v>
      </c>
      <c r="E18" s="2">
        <v>0</v>
      </c>
      <c r="F18" s="4">
        <v>0</v>
      </c>
      <c r="G18" s="3">
        <v>0</v>
      </c>
      <c r="H18" s="3">
        <v>0</v>
      </c>
      <c r="I18" s="3">
        <v>0</v>
      </c>
      <c r="J18" s="3"/>
      <c r="K18">
        <v>12.90000000000002</v>
      </c>
      <c r="L18">
        <v>77.798165137614674</v>
      </c>
      <c r="M18">
        <v>1</v>
      </c>
      <c r="N18">
        <v>3.6788990825688068</v>
      </c>
    </row>
    <row r="19" spans="1:14" x14ac:dyDescent="0.2">
      <c r="A19" t="s">
        <v>43</v>
      </c>
      <c r="B19" s="2">
        <v>71</v>
      </c>
      <c r="C19" s="2">
        <v>17</v>
      </c>
      <c r="D19" s="4">
        <v>0.23943661971830979</v>
      </c>
      <c r="E19" s="2">
        <v>3</v>
      </c>
      <c r="F19" s="4">
        <v>0.1764705882352941</v>
      </c>
      <c r="G19" s="3">
        <v>105</v>
      </c>
      <c r="H19" s="3">
        <v>6.1764705882352962</v>
      </c>
      <c r="I19" s="3">
        <v>1.47887323943662</v>
      </c>
      <c r="J19" s="3">
        <v>35.000000000000007</v>
      </c>
      <c r="K19">
        <v>21.90000000000002</v>
      </c>
      <c r="L19">
        <v>90</v>
      </c>
      <c r="M19">
        <v>1.183098591549296</v>
      </c>
      <c r="N19">
        <v>4.197183098591549</v>
      </c>
    </row>
    <row r="20" spans="1:14" x14ac:dyDescent="0.2">
      <c r="A20" t="s">
        <v>44</v>
      </c>
      <c r="B20" s="2">
        <v>168</v>
      </c>
      <c r="C20" s="2">
        <v>14</v>
      </c>
      <c r="D20" s="4">
        <v>8.3333333333333301E-2</v>
      </c>
      <c r="E20" s="2">
        <v>1</v>
      </c>
      <c r="F20" s="4">
        <v>7.1428571428571397E-2</v>
      </c>
      <c r="G20" s="3">
        <v>35</v>
      </c>
      <c r="H20" s="3">
        <v>2.5</v>
      </c>
      <c r="I20" s="3">
        <v>0.20833333333333329</v>
      </c>
      <c r="J20" s="3">
        <v>35</v>
      </c>
      <c r="K20">
        <v>21.900000000000059</v>
      </c>
      <c r="L20">
        <v>62.083333333333343</v>
      </c>
      <c r="M20">
        <v>1.4226190476190479</v>
      </c>
      <c r="N20">
        <v>5.8630952380952381</v>
      </c>
    </row>
    <row r="21" spans="1:14" x14ac:dyDescent="0.2">
      <c r="A21" t="s">
        <v>45</v>
      </c>
      <c r="B21" s="2">
        <v>145</v>
      </c>
      <c r="C21" s="2">
        <v>13</v>
      </c>
      <c r="D21" s="4">
        <v>8.9655172413793102E-2</v>
      </c>
      <c r="E21" s="2">
        <v>2</v>
      </c>
      <c r="F21" s="4">
        <v>0.1538461538461538</v>
      </c>
      <c r="G21" s="3">
        <v>40</v>
      </c>
      <c r="H21" s="3">
        <v>3.0769230769230771</v>
      </c>
      <c r="I21" s="3">
        <v>0.27586206896551718</v>
      </c>
      <c r="J21" s="3">
        <v>20</v>
      </c>
      <c r="K21">
        <v>24.699999999999939</v>
      </c>
      <c r="L21">
        <v>82.34482758620689</v>
      </c>
      <c r="M21">
        <v>4.9586206896551728</v>
      </c>
      <c r="N21">
        <v>3.489655172413793</v>
      </c>
    </row>
    <row r="22" spans="1:14" x14ac:dyDescent="0.2">
      <c r="A22" t="s">
        <v>46</v>
      </c>
      <c r="B22" s="2">
        <v>147</v>
      </c>
      <c r="C22" s="2">
        <v>9</v>
      </c>
      <c r="D22" s="4">
        <v>6.1224489795918297E-2</v>
      </c>
      <c r="E22" s="2">
        <v>3</v>
      </c>
      <c r="F22" s="4">
        <v>0.33333333333333331</v>
      </c>
      <c r="G22" s="3">
        <v>70.02</v>
      </c>
      <c r="H22" s="3">
        <v>7.7799999999999994</v>
      </c>
      <c r="I22" s="3">
        <v>0.47632653061224489</v>
      </c>
      <c r="J22" s="3">
        <v>23.34</v>
      </c>
      <c r="K22">
        <v>21.900000000000059</v>
      </c>
      <c r="L22">
        <v>80.850340136054427</v>
      </c>
      <c r="M22">
        <v>1.408163265306122</v>
      </c>
      <c r="N22">
        <v>3.6258503401360538</v>
      </c>
    </row>
    <row r="23" spans="1:14" x14ac:dyDescent="0.2">
      <c r="A23" t="s">
        <v>47</v>
      </c>
      <c r="B23" s="2">
        <v>45</v>
      </c>
      <c r="C23" s="2">
        <v>8</v>
      </c>
      <c r="D23" s="4">
        <v>0.1777777777777777</v>
      </c>
      <c r="E23" s="2">
        <v>3</v>
      </c>
      <c r="F23" s="4">
        <v>0.375</v>
      </c>
      <c r="G23" s="3">
        <v>105</v>
      </c>
      <c r="H23" s="3">
        <v>13.125</v>
      </c>
      <c r="I23" s="3">
        <v>2.333333333333333</v>
      </c>
      <c r="J23" s="3">
        <v>35</v>
      </c>
      <c r="K23">
        <v>29.299999999999979</v>
      </c>
      <c r="L23">
        <v>100</v>
      </c>
      <c r="M23">
        <v>2.5555555555555549</v>
      </c>
      <c r="N23">
        <v>1</v>
      </c>
    </row>
    <row r="24" spans="1:14" x14ac:dyDescent="0.2">
      <c r="A24" t="s">
        <v>48</v>
      </c>
      <c r="B24" s="2">
        <v>129</v>
      </c>
      <c r="C24" s="2">
        <v>7</v>
      </c>
      <c r="D24" s="4">
        <v>5.4263565891472798E-2</v>
      </c>
      <c r="E24" s="2">
        <v>3</v>
      </c>
      <c r="F24" s="4">
        <v>0.42857142857142849</v>
      </c>
      <c r="G24" s="3">
        <v>105</v>
      </c>
      <c r="H24" s="3">
        <v>15</v>
      </c>
      <c r="I24" s="3">
        <v>0.81395348837209303</v>
      </c>
      <c r="J24" s="3">
        <v>35</v>
      </c>
      <c r="K24">
        <v>39.899999999999977</v>
      </c>
      <c r="L24">
        <v>100</v>
      </c>
      <c r="M24">
        <v>3.7906976744186052</v>
      </c>
      <c r="N24">
        <v>1</v>
      </c>
    </row>
    <row r="25" spans="1:14" x14ac:dyDescent="0.2">
      <c r="A25" t="s">
        <v>49</v>
      </c>
      <c r="B25" s="2">
        <v>109</v>
      </c>
      <c r="C25" s="2">
        <v>6</v>
      </c>
      <c r="D25" s="4">
        <v>5.5045871559633003E-2</v>
      </c>
      <c r="E25" s="2">
        <v>0</v>
      </c>
      <c r="F25" s="4">
        <v>0</v>
      </c>
      <c r="G25" s="3">
        <v>0</v>
      </c>
      <c r="H25" s="3">
        <v>0</v>
      </c>
      <c r="I25" s="3">
        <v>0</v>
      </c>
      <c r="J25" s="3"/>
      <c r="K25">
        <v>21.900000000000041</v>
      </c>
      <c r="L25">
        <v>77.798165137614674</v>
      </c>
      <c r="M25">
        <v>2.0642201834862379</v>
      </c>
      <c r="N25">
        <v>3.6788990825688068</v>
      </c>
    </row>
    <row r="26" spans="1:14" x14ac:dyDescent="0.2">
      <c r="A26" t="s">
        <v>50</v>
      </c>
      <c r="B26" s="2">
        <v>168</v>
      </c>
      <c r="C26" s="2">
        <v>5</v>
      </c>
      <c r="D26" s="4">
        <v>2.9761904761904701E-2</v>
      </c>
      <c r="E26" s="2">
        <v>1</v>
      </c>
      <c r="F26" s="4">
        <v>0.2</v>
      </c>
      <c r="G26" s="3">
        <v>35</v>
      </c>
      <c r="H26" s="3">
        <v>7</v>
      </c>
      <c r="I26" s="3">
        <v>0.20833333333333329</v>
      </c>
      <c r="J26" s="3">
        <v>35</v>
      </c>
      <c r="K26">
        <v>22.900000000000059</v>
      </c>
      <c r="L26">
        <v>62.083333333333343</v>
      </c>
      <c r="M26">
        <v>3.875</v>
      </c>
      <c r="N26">
        <v>5.8630952380952381</v>
      </c>
    </row>
    <row r="27" spans="1:14" x14ac:dyDescent="0.2">
      <c r="A27" t="s">
        <v>51</v>
      </c>
      <c r="B27" s="2">
        <v>95</v>
      </c>
      <c r="C27" s="2">
        <v>5</v>
      </c>
      <c r="D27" s="4">
        <v>5.2631578947368397E-2</v>
      </c>
      <c r="E27" s="2">
        <v>1</v>
      </c>
      <c r="F27" s="4">
        <v>0.2</v>
      </c>
      <c r="G27" s="3">
        <v>27.500000000000011</v>
      </c>
      <c r="H27" s="3">
        <v>5.5000000000000018</v>
      </c>
      <c r="I27" s="3">
        <v>0.28947368421052638</v>
      </c>
      <c r="J27" s="3">
        <v>27.500000000000011</v>
      </c>
      <c r="K27">
        <v>19.900000000000031</v>
      </c>
      <c r="L27">
        <v>90.473684210526315</v>
      </c>
      <c r="M27">
        <v>1.08421052631579</v>
      </c>
      <c r="N27">
        <v>5.6</v>
      </c>
    </row>
    <row r="28" spans="1:14" x14ac:dyDescent="0.2">
      <c r="A28" t="s">
        <v>52</v>
      </c>
      <c r="B28" s="2">
        <v>39</v>
      </c>
      <c r="C28" s="2">
        <v>5</v>
      </c>
      <c r="D28" s="4">
        <v>0.12820512820512819</v>
      </c>
      <c r="E28" s="2">
        <v>2</v>
      </c>
      <c r="F28" s="4">
        <v>0.4</v>
      </c>
      <c r="G28" s="3">
        <v>68</v>
      </c>
      <c r="H28" s="3">
        <v>13.6</v>
      </c>
      <c r="I28" s="3">
        <v>1.7435897435897441</v>
      </c>
      <c r="J28" s="3">
        <v>34</v>
      </c>
      <c r="K28">
        <v>27.899999999999991</v>
      </c>
      <c r="L28">
        <v>100</v>
      </c>
      <c r="M28">
        <v>4.7435897435897436</v>
      </c>
      <c r="N28">
        <v>1</v>
      </c>
    </row>
    <row r="29" spans="1:14" x14ac:dyDescent="0.2">
      <c r="A29" t="s">
        <v>53</v>
      </c>
      <c r="B29" s="2">
        <v>109</v>
      </c>
      <c r="C29" s="2">
        <v>3</v>
      </c>
      <c r="D29" s="4">
        <v>2.7522935779816501E-2</v>
      </c>
      <c r="E29" s="2">
        <v>0</v>
      </c>
      <c r="F29" s="4">
        <v>0</v>
      </c>
      <c r="G29" s="3">
        <v>0</v>
      </c>
      <c r="H29" s="3">
        <v>0</v>
      </c>
      <c r="I29" s="3">
        <v>0</v>
      </c>
      <c r="J29" s="3"/>
      <c r="K29">
        <v>26.800000000000029</v>
      </c>
      <c r="L29">
        <v>77.798165137614674</v>
      </c>
      <c r="M29">
        <v>3.761467889908257</v>
      </c>
      <c r="N29">
        <v>3.6788990825688068</v>
      </c>
    </row>
    <row r="30" spans="1:14" x14ac:dyDescent="0.2">
      <c r="A30" t="s">
        <v>54</v>
      </c>
      <c r="B30" s="2">
        <v>76</v>
      </c>
      <c r="C30" s="2">
        <v>2</v>
      </c>
      <c r="D30" s="4">
        <v>2.6315789473684199E-2</v>
      </c>
      <c r="E30" s="2">
        <v>1</v>
      </c>
      <c r="F30" s="4">
        <v>0.5</v>
      </c>
      <c r="G30" s="3">
        <v>27.5</v>
      </c>
      <c r="H30" s="3">
        <v>13.75</v>
      </c>
      <c r="I30" s="3">
        <v>0.36184210526315791</v>
      </c>
      <c r="J30" s="3">
        <v>27.5</v>
      </c>
      <c r="K30">
        <v>21.90000000000002</v>
      </c>
      <c r="L30">
        <v>87.30263157894737</v>
      </c>
      <c r="M30">
        <v>2.1052631578947372</v>
      </c>
      <c r="N30">
        <v>5.3947368421052628</v>
      </c>
    </row>
    <row r="31" spans="1:14" x14ac:dyDescent="0.2">
      <c r="A31" t="s">
        <v>55</v>
      </c>
      <c r="B31" s="2">
        <v>91</v>
      </c>
      <c r="C31" s="2">
        <v>2</v>
      </c>
      <c r="D31" s="4">
        <v>2.19780219780219E-2</v>
      </c>
      <c r="E31" s="2">
        <v>1</v>
      </c>
      <c r="F31" s="4">
        <v>0.5</v>
      </c>
      <c r="G31" s="3">
        <v>27.5</v>
      </c>
      <c r="H31" s="3">
        <v>13.75</v>
      </c>
      <c r="I31" s="3">
        <v>0.30219780219780218</v>
      </c>
      <c r="J31" s="3">
        <v>27.5</v>
      </c>
      <c r="K31">
        <v>21.900000000000041</v>
      </c>
      <c r="L31">
        <v>84.285714285714292</v>
      </c>
      <c r="M31">
        <v>2.087912087912088</v>
      </c>
      <c r="N31">
        <v>7.4725274725274726</v>
      </c>
    </row>
    <row r="32" spans="1:14" x14ac:dyDescent="0.2">
      <c r="A32" t="s">
        <v>56</v>
      </c>
      <c r="B32" s="2">
        <v>147</v>
      </c>
      <c r="C32" s="2">
        <v>2</v>
      </c>
      <c r="D32" s="4">
        <v>1.3605442176870699E-2</v>
      </c>
      <c r="E32" s="2">
        <v>1</v>
      </c>
      <c r="F32" s="4">
        <v>0.5</v>
      </c>
      <c r="G32" s="3">
        <v>23.34</v>
      </c>
      <c r="H32" s="3">
        <v>11.67</v>
      </c>
      <c r="I32" s="3">
        <v>0.15877551020408159</v>
      </c>
      <c r="J32" s="3">
        <v>23.34</v>
      </c>
      <c r="K32">
        <v>21.900000000000059</v>
      </c>
      <c r="L32">
        <v>80.850340136054427</v>
      </c>
      <c r="M32">
        <v>1.408163265306122</v>
      </c>
      <c r="N32">
        <v>3.6258503401360538</v>
      </c>
    </row>
    <row r="33" spans="1:14" x14ac:dyDescent="0.2">
      <c r="A33" t="s">
        <v>57</v>
      </c>
      <c r="B33" s="2">
        <v>13</v>
      </c>
      <c r="C33" s="2">
        <v>0</v>
      </c>
      <c r="D33" s="4">
        <v>0</v>
      </c>
      <c r="E33" s="2">
        <v>0</v>
      </c>
      <c r="F33" s="4"/>
      <c r="G33" s="3">
        <v>0</v>
      </c>
      <c r="H33" s="3"/>
      <c r="I33" s="3">
        <v>0</v>
      </c>
      <c r="J33" s="3"/>
      <c r="K33">
        <v>26.800000000000011</v>
      </c>
      <c r="L33">
        <v>83.84615384615384</v>
      </c>
      <c r="M33">
        <v>4.3076923076923066</v>
      </c>
      <c r="N33">
        <v>4.3076923076923066</v>
      </c>
    </row>
    <row r="34" spans="1:14" x14ac:dyDescent="0.2">
      <c r="A34" t="s">
        <v>58</v>
      </c>
      <c r="B34" s="2">
        <v>13</v>
      </c>
      <c r="C34" s="2">
        <v>0</v>
      </c>
      <c r="D34" s="4">
        <v>0</v>
      </c>
      <c r="E34" s="2">
        <v>0</v>
      </c>
      <c r="F34" s="4"/>
      <c r="G34" s="3">
        <v>0</v>
      </c>
      <c r="H34" s="3"/>
      <c r="I34" s="3">
        <v>0</v>
      </c>
      <c r="J34" s="3"/>
      <c r="K34">
        <v>21.9</v>
      </c>
      <c r="L34">
        <v>83.84615384615384</v>
      </c>
      <c r="M34">
        <v>2.0769230769230771</v>
      </c>
      <c r="N34">
        <v>4.3076923076923066</v>
      </c>
    </row>
    <row r="35" spans="1:14" x14ac:dyDescent="0.2">
      <c r="A35" t="s">
        <v>59</v>
      </c>
      <c r="B35" s="2">
        <v>13</v>
      </c>
      <c r="C35" s="2">
        <v>0</v>
      </c>
      <c r="D35" s="4">
        <v>0</v>
      </c>
      <c r="E35" s="2">
        <v>0</v>
      </c>
      <c r="F35" s="4"/>
      <c r="G35" s="3">
        <v>0</v>
      </c>
      <c r="H35" s="3"/>
      <c r="I35" s="3">
        <v>0</v>
      </c>
      <c r="J35" s="3"/>
      <c r="K35">
        <v>12.9</v>
      </c>
      <c r="L35">
        <v>83.84615384615384</v>
      </c>
      <c r="M35">
        <v>1</v>
      </c>
      <c r="N35">
        <v>4.3076923076923066</v>
      </c>
    </row>
  </sheetData>
  <conditionalFormatting sqref="A2:N35">
    <cfRule type="expression" dxfId="2" priority="1">
      <formula>OR($A2="Card 29",$A2=29)</formula>
    </cfRule>
    <cfRule type="expression" dxfId="1" priority="2">
      <formula>OR($A2="Card 30",$A2=30,$A2="Card 31",$A2=31)</formula>
    </cfRule>
  </conditionalFormatting>
  <conditionalFormatting sqref="C2:C35">
    <cfRule type="dataBar" priority="3">
      <dataBar>
        <cfvo type="min"/>
        <cfvo type="max"/>
        <color rgb="FF6BAED6"/>
      </dataBar>
    </cfRule>
  </conditionalFormatting>
  <conditionalFormatting sqref="H2:H35">
    <cfRule type="dataBar" priority="4">
      <dataBar>
        <cfvo type="min"/>
        <cfvo type="max"/>
        <color rgb="FF74C69D"/>
      </dataBar>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4"/>
  <sheetViews>
    <sheetView showGridLines="0" zoomScale="85" zoomScaleNormal="85" workbookViewId="0">
      <pane xSplit="1" ySplit="1" topLeftCell="B2" activePane="bottomRight" state="frozen"/>
      <selection pane="topRight" activeCell="B1" sqref="B1"/>
      <selection pane="bottomLeft" activeCell="A2" sqref="A2"/>
      <selection pane="bottomRight"/>
    </sheetView>
  </sheetViews>
  <sheetFormatPr baseColWidth="10" defaultColWidth="8.83203125" defaultRowHeight="15" x14ac:dyDescent="0.2"/>
  <cols>
    <col min="1" max="1" width="16.6640625" customWidth="1"/>
    <col min="2" max="2" width="20.6640625" customWidth="1"/>
    <col min="3" max="3" width="16.6640625" customWidth="1"/>
    <col min="4" max="4" width="18.6640625" customWidth="1"/>
    <col min="5" max="5" width="19.6640625" customWidth="1"/>
    <col min="6" max="6" width="20.6640625" customWidth="1"/>
    <col min="7" max="7" width="18.6640625" customWidth="1"/>
    <col min="8" max="8" width="21.6640625" customWidth="1"/>
    <col min="9" max="9" width="25.6640625" customWidth="1"/>
    <col min="10" max="10" width="21.6640625" customWidth="1"/>
  </cols>
  <sheetData>
    <row r="1" spans="1:10" ht="38" customHeight="1" x14ac:dyDescent="0.2">
      <c r="A1" s="1" t="s">
        <v>60</v>
      </c>
      <c r="B1" s="1" t="s">
        <v>61</v>
      </c>
      <c r="C1" s="1" t="s">
        <v>62</v>
      </c>
      <c r="D1" s="1" t="s">
        <v>63</v>
      </c>
      <c r="E1" s="1" t="s">
        <v>64</v>
      </c>
      <c r="F1" s="1" t="s">
        <v>65</v>
      </c>
      <c r="G1" s="1" t="s">
        <v>66</v>
      </c>
      <c r="H1" s="1" t="s">
        <v>67</v>
      </c>
      <c r="I1" s="1" t="s">
        <v>68</v>
      </c>
      <c r="J1" s="1" t="s">
        <v>69</v>
      </c>
    </row>
    <row r="2" spans="1:10" x14ac:dyDescent="0.2">
      <c r="A2" t="s">
        <v>32</v>
      </c>
      <c r="B2" s="2">
        <v>1278</v>
      </c>
      <c r="C2" s="2">
        <v>274</v>
      </c>
      <c r="D2" s="2">
        <v>57</v>
      </c>
      <c r="E2" s="4">
        <v>0.21439749608763689</v>
      </c>
      <c r="F2" s="4">
        <v>4.46009389671361E-2</v>
      </c>
      <c r="G2" s="5">
        <v>4.8070175438596499</v>
      </c>
      <c r="H2" s="4">
        <v>0.83881064162754304</v>
      </c>
      <c r="I2" s="4">
        <v>0.1611893583724569</v>
      </c>
      <c r="J2" s="4">
        <v>1</v>
      </c>
    </row>
    <row r="3" spans="1:10" x14ac:dyDescent="0.2">
      <c r="A3" t="s">
        <v>27</v>
      </c>
      <c r="B3" s="2">
        <v>1251</v>
      </c>
      <c r="C3" s="2">
        <v>266</v>
      </c>
      <c r="D3" s="2">
        <v>112</v>
      </c>
      <c r="E3" s="4">
        <v>0.2126298960831334</v>
      </c>
      <c r="F3" s="4">
        <v>8.9528377298161405E-2</v>
      </c>
      <c r="G3" s="5">
        <v>2.375</v>
      </c>
      <c r="H3" s="4">
        <v>0.97202238209432457</v>
      </c>
      <c r="I3" s="4">
        <v>2.7977617905675399E-2</v>
      </c>
      <c r="J3" s="4">
        <v>1</v>
      </c>
    </row>
    <row r="4" spans="1:10" x14ac:dyDescent="0.2">
      <c r="A4" t="s">
        <v>29</v>
      </c>
      <c r="B4" s="2">
        <v>183</v>
      </c>
      <c r="C4" s="2">
        <v>13</v>
      </c>
      <c r="D4" s="2">
        <v>25</v>
      </c>
      <c r="E4" s="4">
        <v>7.10382513661202E-2</v>
      </c>
      <c r="F4" s="4">
        <v>0.13661202185792351</v>
      </c>
      <c r="G4" s="5">
        <v>0.51999999999999991</v>
      </c>
      <c r="H4" s="4">
        <v>0</v>
      </c>
      <c r="I4" s="4">
        <v>0</v>
      </c>
      <c r="J4" s="4">
        <v>1</v>
      </c>
    </row>
    <row r="5" spans="1:10" x14ac:dyDescent="0.2">
      <c r="A5" t="s">
        <v>37</v>
      </c>
      <c r="B5" s="2">
        <v>173</v>
      </c>
      <c r="C5" s="2">
        <v>25</v>
      </c>
      <c r="D5" s="2">
        <v>10</v>
      </c>
      <c r="E5" s="4">
        <v>0.1445086705202312</v>
      </c>
      <c r="F5" s="4">
        <v>5.7803468208092401E-2</v>
      </c>
      <c r="G5" s="5">
        <v>2.5</v>
      </c>
      <c r="H5" s="4">
        <v>5.7803468208091997E-3</v>
      </c>
      <c r="I5" s="4">
        <v>0</v>
      </c>
      <c r="J5" s="4">
        <v>1</v>
      </c>
    </row>
    <row r="6" spans="1:10" x14ac:dyDescent="0.2">
      <c r="A6" t="s">
        <v>28</v>
      </c>
      <c r="B6" s="2">
        <v>170</v>
      </c>
      <c r="C6" s="2">
        <v>17</v>
      </c>
      <c r="D6" s="2">
        <v>43</v>
      </c>
      <c r="E6" s="4">
        <v>0.1</v>
      </c>
      <c r="F6" s="4">
        <v>0.25294117647058822</v>
      </c>
      <c r="G6" s="5">
        <v>0.39534883720930231</v>
      </c>
      <c r="H6" s="4">
        <v>0</v>
      </c>
      <c r="I6" s="4">
        <v>0</v>
      </c>
      <c r="J6" s="4">
        <v>0</v>
      </c>
    </row>
    <row r="7" spans="1:10" x14ac:dyDescent="0.2">
      <c r="A7" t="s">
        <v>36</v>
      </c>
      <c r="B7" s="2">
        <v>125</v>
      </c>
      <c r="C7" s="2">
        <v>10</v>
      </c>
      <c r="D7" s="2">
        <v>14</v>
      </c>
      <c r="E7" s="4">
        <v>0.08</v>
      </c>
      <c r="F7" s="4">
        <v>0.112</v>
      </c>
      <c r="G7" s="5">
        <v>0.7142857142857143</v>
      </c>
      <c r="H7" s="4">
        <v>0</v>
      </c>
      <c r="I7" s="4">
        <v>0</v>
      </c>
      <c r="J7" s="4">
        <v>1</v>
      </c>
    </row>
    <row r="8" spans="1:10" x14ac:dyDescent="0.2">
      <c r="A8" t="s">
        <v>35</v>
      </c>
      <c r="B8" s="2">
        <v>120</v>
      </c>
      <c r="C8" s="2">
        <v>3</v>
      </c>
      <c r="D8" s="2">
        <v>25</v>
      </c>
      <c r="E8" s="4">
        <v>2.5000000000000001E-2</v>
      </c>
      <c r="F8" s="4">
        <v>0.20833333333333329</v>
      </c>
      <c r="G8" s="5">
        <v>0.12</v>
      </c>
      <c r="H8" s="4">
        <v>8.3333333333333003E-3</v>
      </c>
      <c r="I8" s="4">
        <v>0</v>
      </c>
      <c r="J8" s="4">
        <v>0</v>
      </c>
    </row>
    <row r="9" spans="1:10" x14ac:dyDescent="0.2">
      <c r="A9" t="s">
        <v>41</v>
      </c>
      <c r="B9" s="2">
        <v>119</v>
      </c>
      <c r="C9" s="2">
        <v>3</v>
      </c>
      <c r="D9" s="2">
        <v>13</v>
      </c>
      <c r="E9" s="4">
        <v>2.5210084033613401E-2</v>
      </c>
      <c r="F9" s="4">
        <v>0.1092436974789916</v>
      </c>
      <c r="G9" s="5">
        <v>0.2307692307692307</v>
      </c>
      <c r="H9" s="4">
        <v>0</v>
      </c>
      <c r="I9" s="4">
        <v>0</v>
      </c>
      <c r="J9" s="4">
        <v>0</v>
      </c>
    </row>
    <row r="10" spans="1:10" x14ac:dyDescent="0.2">
      <c r="A10" t="s">
        <v>34</v>
      </c>
      <c r="B10" s="2">
        <v>115</v>
      </c>
      <c r="C10" s="2">
        <v>8</v>
      </c>
      <c r="D10" s="2">
        <v>22</v>
      </c>
      <c r="E10" s="4">
        <v>6.9565217391304293E-2</v>
      </c>
      <c r="F10" s="4">
        <v>0.19130434782608691</v>
      </c>
      <c r="G10" s="5">
        <v>0.36363636363636359</v>
      </c>
      <c r="H10" s="4">
        <v>0</v>
      </c>
      <c r="I10" s="4">
        <v>0</v>
      </c>
      <c r="J10" s="4">
        <v>1</v>
      </c>
    </row>
    <row r="11" spans="1:10" x14ac:dyDescent="0.2">
      <c r="A11" t="s">
        <v>44</v>
      </c>
      <c r="B11" s="2">
        <v>105</v>
      </c>
      <c r="C11" s="2">
        <v>8</v>
      </c>
      <c r="D11" s="2">
        <v>6</v>
      </c>
      <c r="E11" s="4">
        <v>7.6190476190476197E-2</v>
      </c>
      <c r="F11" s="4">
        <v>5.7142857142857099E-2</v>
      </c>
      <c r="G11" s="5">
        <v>1.3333333333333339</v>
      </c>
      <c r="H11" s="4">
        <v>8.5714285714285701E-2</v>
      </c>
      <c r="I11" s="4">
        <v>0.91428571428571437</v>
      </c>
      <c r="J11" s="4">
        <v>0</v>
      </c>
    </row>
    <row r="12" spans="1:10" x14ac:dyDescent="0.2">
      <c r="A12" t="s">
        <v>50</v>
      </c>
      <c r="B12" s="2">
        <v>105</v>
      </c>
      <c r="C12" s="2">
        <v>8</v>
      </c>
      <c r="D12" s="2">
        <v>1</v>
      </c>
      <c r="E12" s="4">
        <v>7.6190476190476197E-2</v>
      </c>
      <c r="F12" s="4">
        <v>9.5238095238095004E-3</v>
      </c>
      <c r="G12" s="5">
        <v>8</v>
      </c>
      <c r="H12" s="4">
        <v>8.5714285714285701E-2</v>
      </c>
      <c r="I12" s="4">
        <v>0.91428571428571437</v>
      </c>
      <c r="J12" s="4">
        <v>0</v>
      </c>
    </row>
    <row r="13" spans="1:10" x14ac:dyDescent="0.2">
      <c r="A13" t="s">
        <v>39</v>
      </c>
      <c r="B13" s="2">
        <v>102</v>
      </c>
      <c r="C13" s="2">
        <v>15</v>
      </c>
      <c r="D13" s="2">
        <v>10</v>
      </c>
      <c r="E13" s="4">
        <v>0.14705882352941169</v>
      </c>
      <c r="F13" s="4">
        <v>9.8039215686274495E-2</v>
      </c>
      <c r="G13" s="5">
        <v>1.5</v>
      </c>
      <c r="H13" s="4">
        <v>0</v>
      </c>
      <c r="I13" s="4">
        <v>0</v>
      </c>
      <c r="J13" s="4">
        <v>1</v>
      </c>
    </row>
    <row r="14" spans="1:10" x14ac:dyDescent="0.2">
      <c r="A14" t="s">
        <v>45</v>
      </c>
      <c r="B14" s="2">
        <v>87</v>
      </c>
      <c r="C14" s="2">
        <v>1</v>
      </c>
      <c r="D14" s="2">
        <v>8</v>
      </c>
      <c r="E14" s="4">
        <v>1.1494252873563199E-2</v>
      </c>
      <c r="F14" s="4">
        <v>9.1954022988505704E-2</v>
      </c>
      <c r="G14" s="5">
        <v>0.125</v>
      </c>
      <c r="H14" s="4">
        <v>0.60919540229885061</v>
      </c>
      <c r="I14" s="4">
        <v>0.35632183908045978</v>
      </c>
      <c r="J14" s="4">
        <v>0</v>
      </c>
    </row>
    <row r="15" spans="1:10" x14ac:dyDescent="0.2">
      <c r="A15" t="s">
        <v>56</v>
      </c>
      <c r="B15" s="2">
        <v>86</v>
      </c>
      <c r="C15" s="2">
        <v>1</v>
      </c>
      <c r="D15" s="2">
        <v>1</v>
      </c>
      <c r="E15" s="4">
        <v>1.1627906976744099E-2</v>
      </c>
      <c r="F15" s="4">
        <v>1.1627906976744099E-2</v>
      </c>
      <c r="G15" s="5">
        <v>1</v>
      </c>
      <c r="H15" s="4">
        <v>0.58139534883720934</v>
      </c>
      <c r="I15" s="4">
        <v>0.40697674418604651</v>
      </c>
      <c r="J15" s="4">
        <v>0</v>
      </c>
    </row>
    <row r="16" spans="1:10" x14ac:dyDescent="0.2">
      <c r="A16" t="s">
        <v>46</v>
      </c>
      <c r="B16" s="2">
        <v>86</v>
      </c>
      <c r="C16" s="2">
        <v>1</v>
      </c>
      <c r="D16" s="2">
        <v>3</v>
      </c>
      <c r="E16" s="4">
        <v>1.1627906976744099E-2</v>
      </c>
      <c r="F16" s="4">
        <v>3.4883720930232502E-2</v>
      </c>
      <c r="G16" s="5">
        <v>0.33333333333333331</v>
      </c>
      <c r="H16" s="4">
        <v>0.58139534883720934</v>
      </c>
      <c r="I16" s="4">
        <v>0.40697674418604651</v>
      </c>
      <c r="J16" s="4">
        <v>0</v>
      </c>
    </row>
    <row r="17" spans="1:10" x14ac:dyDescent="0.2">
      <c r="A17" t="s">
        <v>30</v>
      </c>
      <c r="B17" s="2">
        <v>85</v>
      </c>
      <c r="C17" s="2">
        <v>14</v>
      </c>
      <c r="D17" s="2">
        <v>10</v>
      </c>
      <c r="E17" s="4">
        <v>0.16470588235294109</v>
      </c>
      <c r="F17" s="4">
        <v>0.1176470588235294</v>
      </c>
      <c r="G17" s="5">
        <v>1.4</v>
      </c>
      <c r="H17" s="4">
        <v>0</v>
      </c>
      <c r="I17" s="4">
        <v>0</v>
      </c>
      <c r="J17" s="4">
        <v>1</v>
      </c>
    </row>
    <row r="18" spans="1:10" x14ac:dyDescent="0.2">
      <c r="A18" t="s">
        <v>51</v>
      </c>
      <c r="B18" s="2">
        <v>61</v>
      </c>
      <c r="C18" s="2">
        <v>5</v>
      </c>
      <c r="D18" s="2">
        <v>2</v>
      </c>
      <c r="E18" s="4">
        <v>8.1967213114753995E-2</v>
      </c>
      <c r="F18" s="4">
        <v>3.2786885245901599E-2</v>
      </c>
      <c r="G18" s="5">
        <v>2.5</v>
      </c>
      <c r="H18" s="4">
        <v>9.8360655737704902E-2</v>
      </c>
      <c r="I18" s="4">
        <v>0.90163934426229519</v>
      </c>
      <c r="J18" s="4">
        <v>0</v>
      </c>
    </row>
    <row r="19" spans="1:10" x14ac:dyDescent="0.2">
      <c r="A19" t="s">
        <v>55</v>
      </c>
      <c r="B19" s="2">
        <v>60</v>
      </c>
      <c r="C19" s="2">
        <v>4</v>
      </c>
      <c r="D19" s="2">
        <v>1</v>
      </c>
      <c r="E19" s="4">
        <v>6.6666666666666596E-2</v>
      </c>
      <c r="F19" s="4">
        <v>1.6666666666666601E-2</v>
      </c>
      <c r="G19" s="5">
        <v>4</v>
      </c>
      <c r="H19" s="4">
        <v>0</v>
      </c>
      <c r="I19" s="4">
        <v>1</v>
      </c>
      <c r="J19" s="4">
        <v>0</v>
      </c>
    </row>
    <row r="20" spans="1:10" x14ac:dyDescent="0.2">
      <c r="A20" t="s">
        <v>48</v>
      </c>
      <c r="B20" s="2">
        <v>57</v>
      </c>
      <c r="C20" s="2">
        <v>8</v>
      </c>
      <c r="D20" s="2">
        <v>0</v>
      </c>
      <c r="E20" s="4">
        <v>0.14035087719298239</v>
      </c>
      <c r="F20" s="4">
        <v>0</v>
      </c>
      <c r="G20" s="5"/>
      <c r="H20" s="4">
        <v>0</v>
      </c>
      <c r="I20" s="4">
        <v>0</v>
      </c>
      <c r="J20" s="4">
        <v>1</v>
      </c>
    </row>
    <row r="21" spans="1:10" x14ac:dyDescent="0.2">
      <c r="A21" t="s">
        <v>31</v>
      </c>
      <c r="B21" s="2">
        <v>51</v>
      </c>
      <c r="C21" s="2">
        <v>7</v>
      </c>
      <c r="D21" s="2">
        <v>6</v>
      </c>
      <c r="E21" s="4">
        <v>0.1372549019607843</v>
      </c>
      <c r="F21" s="4">
        <v>0.1176470588235294</v>
      </c>
      <c r="G21" s="5">
        <v>1.166666666666667</v>
      </c>
      <c r="H21" s="4">
        <v>0</v>
      </c>
      <c r="I21" s="4">
        <v>0</v>
      </c>
      <c r="J21" s="4">
        <v>1</v>
      </c>
    </row>
    <row r="22" spans="1:10" x14ac:dyDescent="0.2">
      <c r="A22" t="s">
        <v>54</v>
      </c>
      <c r="B22" s="2">
        <v>50</v>
      </c>
      <c r="C22" s="2">
        <v>2</v>
      </c>
      <c r="D22" s="2">
        <v>0</v>
      </c>
      <c r="E22" s="4">
        <v>0.04</v>
      </c>
      <c r="F22" s="4">
        <v>0</v>
      </c>
      <c r="G22" s="5"/>
      <c r="H22" s="4">
        <v>0.36</v>
      </c>
      <c r="I22" s="4">
        <v>0.64</v>
      </c>
      <c r="J22" s="4">
        <v>0</v>
      </c>
    </row>
    <row r="23" spans="1:10" x14ac:dyDescent="0.2">
      <c r="A23" t="s">
        <v>38</v>
      </c>
      <c r="B23" s="2">
        <v>49</v>
      </c>
      <c r="C23" s="2">
        <v>9</v>
      </c>
      <c r="D23" s="2">
        <v>0</v>
      </c>
      <c r="E23" s="4">
        <v>0.18367346938775511</v>
      </c>
      <c r="F23" s="4">
        <v>0</v>
      </c>
      <c r="G23" s="5"/>
      <c r="H23" s="4">
        <v>0</v>
      </c>
      <c r="I23" s="4">
        <v>0</v>
      </c>
      <c r="J23" s="4">
        <v>1</v>
      </c>
    </row>
    <row r="24" spans="1:10" x14ac:dyDescent="0.2">
      <c r="A24" t="s">
        <v>53</v>
      </c>
      <c r="B24" s="2">
        <v>47</v>
      </c>
      <c r="C24" s="2">
        <v>0</v>
      </c>
      <c r="D24" s="2">
        <v>0</v>
      </c>
      <c r="E24" s="4">
        <v>0</v>
      </c>
      <c r="F24" s="4">
        <v>0</v>
      </c>
      <c r="G24" s="5"/>
      <c r="H24" s="4">
        <v>2.1276595744680799E-2</v>
      </c>
      <c r="I24" s="4">
        <v>0.97872340425531923</v>
      </c>
      <c r="J24" s="4">
        <v>0</v>
      </c>
    </row>
    <row r="25" spans="1:10" x14ac:dyDescent="0.2">
      <c r="A25" t="s">
        <v>42</v>
      </c>
      <c r="B25" s="2">
        <v>47</v>
      </c>
      <c r="C25" s="2">
        <v>0</v>
      </c>
      <c r="D25" s="2">
        <v>4</v>
      </c>
      <c r="E25" s="4">
        <v>0</v>
      </c>
      <c r="F25" s="4">
        <v>8.5106382978723402E-2</v>
      </c>
      <c r="G25" s="5">
        <v>0</v>
      </c>
      <c r="H25" s="4">
        <v>2.1276595744680799E-2</v>
      </c>
      <c r="I25" s="4">
        <v>0.97872340425531923</v>
      </c>
      <c r="J25" s="4">
        <v>0</v>
      </c>
    </row>
    <row r="26" spans="1:10" x14ac:dyDescent="0.2">
      <c r="A26" t="s">
        <v>49</v>
      </c>
      <c r="B26" s="2">
        <v>47</v>
      </c>
      <c r="C26" s="2">
        <v>0</v>
      </c>
      <c r="D26" s="2">
        <v>1</v>
      </c>
      <c r="E26" s="4">
        <v>0</v>
      </c>
      <c r="F26" s="4">
        <v>2.1276595744680799E-2</v>
      </c>
      <c r="G26" s="5">
        <v>0</v>
      </c>
      <c r="H26" s="4">
        <v>2.1276595744680799E-2</v>
      </c>
      <c r="I26" s="4">
        <v>0.97872340425531923</v>
      </c>
      <c r="J26" s="4">
        <v>0</v>
      </c>
    </row>
    <row r="27" spans="1:10" x14ac:dyDescent="0.2">
      <c r="A27" t="s">
        <v>33</v>
      </c>
      <c r="B27" s="2">
        <v>36</v>
      </c>
      <c r="C27" s="2">
        <v>8</v>
      </c>
      <c r="D27" s="2">
        <v>5</v>
      </c>
      <c r="E27" s="4">
        <v>0.22222222222222221</v>
      </c>
      <c r="F27" s="4">
        <v>0.1388888888888889</v>
      </c>
      <c r="G27" s="5">
        <v>1.6</v>
      </c>
      <c r="H27" s="4">
        <v>0</v>
      </c>
      <c r="I27" s="4">
        <v>0</v>
      </c>
      <c r="J27" s="4">
        <v>1</v>
      </c>
    </row>
    <row r="28" spans="1:10" x14ac:dyDescent="0.2">
      <c r="A28" t="s">
        <v>43</v>
      </c>
      <c r="B28" s="2">
        <v>36</v>
      </c>
      <c r="C28" s="2">
        <v>4</v>
      </c>
      <c r="D28" s="2">
        <v>3</v>
      </c>
      <c r="E28" s="4">
        <v>0.1111111111111111</v>
      </c>
      <c r="F28" s="4">
        <v>8.3333333333333301E-2</v>
      </c>
      <c r="G28" s="5">
        <v>1.333333333333333</v>
      </c>
      <c r="H28" s="4">
        <v>0.1388888888888889</v>
      </c>
      <c r="I28" s="4">
        <v>0.86111111111111116</v>
      </c>
      <c r="J28" s="4">
        <v>0</v>
      </c>
    </row>
    <row r="29" spans="1:10" x14ac:dyDescent="0.2">
      <c r="A29" t="s">
        <v>52</v>
      </c>
      <c r="B29" s="2">
        <v>29</v>
      </c>
      <c r="C29" s="2">
        <v>0</v>
      </c>
      <c r="D29" s="2">
        <v>4</v>
      </c>
      <c r="E29" s="4">
        <v>0</v>
      </c>
      <c r="F29" s="4">
        <v>0.13793103448275859</v>
      </c>
      <c r="G29" s="5">
        <v>0</v>
      </c>
      <c r="H29" s="4">
        <v>0</v>
      </c>
      <c r="I29" s="4">
        <v>0</v>
      </c>
      <c r="J29" s="4">
        <v>0</v>
      </c>
    </row>
    <row r="30" spans="1:10" x14ac:dyDescent="0.2">
      <c r="A30" t="s">
        <v>47</v>
      </c>
      <c r="B30" s="2">
        <v>23</v>
      </c>
      <c r="C30" s="2">
        <v>0</v>
      </c>
      <c r="D30" s="2">
        <v>5</v>
      </c>
      <c r="E30" s="4">
        <v>0</v>
      </c>
      <c r="F30" s="4">
        <v>0.217391304347826</v>
      </c>
      <c r="G30" s="5">
        <v>0</v>
      </c>
      <c r="H30" s="4">
        <v>0</v>
      </c>
      <c r="I30" s="4">
        <v>0</v>
      </c>
      <c r="J30" s="4">
        <v>0</v>
      </c>
    </row>
    <row r="31" spans="1:10" x14ac:dyDescent="0.2">
      <c r="A31" t="s">
        <v>40</v>
      </c>
      <c r="B31" s="2">
        <v>19</v>
      </c>
      <c r="C31" s="2">
        <v>4</v>
      </c>
      <c r="D31" s="2">
        <v>1</v>
      </c>
      <c r="E31" s="4">
        <v>0.21052631578947359</v>
      </c>
      <c r="F31" s="4">
        <v>5.2631578947368397E-2</v>
      </c>
      <c r="G31" s="5">
        <v>4</v>
      </c>
      <c r="H31" s="4">
        <v>0</v>
      </c>
      <c r="I31" s="4">
        <v>0</v>
      </c>
      <c r="J31" s="4">
        <v>1</v>
      </c>
    </row>
    <row r="32" spans="1:10" x14ac:dyDescent="0.2">
      <c r="A32" t="s">
        <v>57</v>
      </c>
      <c r="B32" s="2">
        <v>6</v>
      </c>
      <c r="C32" s="2">
        <v>0</v>
      </c>
      <c r="D32" s="2">
        <v>0</v>
      </c>
      <c r="E32" s="4">
        <v>0</v>
      </c>
      <c r="F32" s="4">
        <v>0</v>
      </c>
      <c r="G32" s="5"/>
      <c r="H32" s="4">
        <v>0</v>
      </c>
      <c r="I32" s="4">
        <v>1</v>
      </c>
      <c r="J32" s="4">
        <v>0</v>
      </c>
    </row>
    <row r="33" spans="1:10" x14ac:dyDescent="0.2">
      <c r="A33" t="s">
        <v>59</v>
      </c>
      <c r="B33" s="2">
        <v>6</v>
      </c>
      <c r="C33" s="2">
        <v>0</v>
      </c>
      <c r="D33" s="2">
        <v>0</v>
      </c>
      <c r="E33" s="4">
        <v>0</v>
      </c>
      <c r="F33" s="4">
        <v>0</v>
      </c>
      <c r="G33" s="5"/>
      <c r="H33" s="4">
        <v>0</v>
      </c>
      <c r="I33" s="4">
        <v>1</v>
      </c>
      <c r="J33" s="4">
        <v>0</v>
      </c>
    </row>
    <row r="34" spans="1:10" x14ac:dyDescent="0.2">
      <c r="A34" t="s">
        <v>58</v>
      </c>
      <c r="B34" s="2">
        <v>6</v>
      </c>
      <c r="C34" s="2">
        <v>0</v>
      </c>
      <c r="D34" s="2">
        <v>0</v>
      </c>
      <c r="E34" s="4">
        <v>0</v>
      </c>
      <c r="F34" s="4">
        <v>0</v>
      </c>
      <c r="G34" s="5"/>
      <c r="H34" s="4">
        <v>0</v>
      </c>
      <c r="I34" s="4">
        <v>1</v>
      </c>
      <c r="J34" s="4">
        <v>0</v>
      </c>
    </row>
  </sheetData>
  <conditionalFormatting sqref="A2:J34">
    <cfRule type="expression" dxfId="0" priority="1">
      <formula>OR($A2="Card 30",$A2=30,$A2="Card 31",$A2=31)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
  <sheetViews>
    <sheetView showGridLines="0" zoomScale="90" zoomScaleNormal="90" workbookViewId="0">
      <selection activeCell="B14" sqref="B14"/>
    </sheetView>
  </sheetViews>
  <sheetFormatPr baseColWidth="10" defaultColWidth="8.83203125" defaultRowHeight="15" x14ac:dyDescent="0.2"/>
  <cols>
    <col min="1" max="1" width="20.6640625" customWidth="1"/>
    <col min="2" max="2" width="16.6640625" customWidth="1"/>
    <col min="3" max="3" width="18.6640625" customWidth="1"/>
    <col min="4" max="4" width="4.6640625" customWidth="1"/>
    <col min="5" max="5" width="22.6640625" customWidth="1"/>
    <col min="6" max="7" width="16.6640625" customWidth="1"/>
    <col min="8" max="8" width="18.6640625" customWidth="1"/>
  </cols>
  <sheetData>
    <row r="1" spans="1:8" ht="26" customHeight="1" x14ac:dyDescent="0.2">
      <c r="A1" s="14" t="s">
        <v>70</v>
      </c>
      <c r="B1" s="14"/>
      <c r="C1" s="14"/>
      <c r="D1" s="14"/>
      <c r="E1" s="14"/>
      <c r="F1" s="14"/>
      <c r="G1" s="14"/>
      <c r="H1" s="14"/>
    </row>
    <row r="2" spans="1:8" ht="26" customHeight="1" x14ac:dyDescent="0.2">
      <c r="A2" s="14"/>
      <c r="B2" s="14"/>
      <c r="C2" s="14"/>
      <c r="D2" s="14"/>
      <c r="E2" s="14"/>
      <c r="F2" s="14"/>
      <c r="G2" s="14"/>
      <c r="H2" s="14"/>
    </row>
    <row r="3" spans="1:8" x14ac:dyDescent="0.2">
      <c r="A3" s="16" t="s">
        <v>71</v>
      </c>
      <c r="B3" s="16"/>
      <c r="C3" s="16"/>
      <c r="D3" s="16"/>
      <c r="E3" s="16"/>
      <c r="F3" s="16"/>
      <c r="G3" s="16"/>
      <c r="H3" s="16"/>
    </row>
    <row r="5" spans="1:8" ht="26" x14ac:dyDescent="0.2">
      <c r="A5" s="6" t="s">
        <v>72</v>
      </c>
      <c r="C5" s="6" t="s">
        <v>73</v>
      </c>
      <c r="E5" s="6" t="s">
        <v>74</v>
      </c>
      <c r="G5" s="6" t="s">
        <v>75</v>
      </c>
    </row>
    <row r="6" spans="1:8" ht="30" customHeight="1" x14ac:dyDescent="0.2">
      <c r="A6" s="7">
        <v>398</v>
      </c>
      <c r="C6" s="7">
        <v>315</v>
      </c>
      <c r="E6" s="8">
        <v>0.79145728643216084</v>
      </c>
      <c r="G6" s="7">
        <v>83</v>
      </c>
    </row>
    <row r="8" spans="1:8" x14ac:dyDescent="0.2">
      <c r="A8" s="17" t="s">
        <v>76</v>
      </c>
      <c r="B8" s="17"/>
      <c r="C8" s="17"/>
      <c r="D8" s="17"/>
      <c r="E8" s="17"/>
      <c r="F8" s="17"/>
      <c r="G8" s="17"/>
      <c r="H8" s="17"/>
    </row>
    <row r="9" spans="1:8" x14ac:dyDescent="0.2">
      <c r="A9" s="17"/>
      <c r="B9" s="17"/>
      <c r="C9" s="17"/>
      <c r="D9" s="17"/>
      <c r="E9" s="17"/>
      <c r="F9" s="17"/>
      <c r="G9" s="17"/>
      <c r="H9" s="17"/>
    </row>
    <row r="11" spans="1:8" x14ac:dyDescent="0.2">
      <c r="A11" s="18" t="s">
        <v>77</v>
      </c>
      <c r="B11" s="18"/>
      <c r="C11" s="18"/>
      <c r="E11" s="18" t="s">
        <v>81</v>
      </c>
      <c r="F11" s="18"/>
      <c r="G11" s="18"/>
    </row>
    <row r="12" spans="1:8" ht="16" x14ac:dyDescent="0.2">
      <c r="A12" s="9" t="s">
        <v>78</v>
      </c>
      <c r="B12" s="9" t="s">
        <v>79</v>
      </c>
      <c r="C12" s="9" t="s">
        <v>80</v>
      </c>
      <c r="E12" s="9" t="s">
        <v>82</v>
      </c>
      <c r="F12" s="9" t="s">
        <v>79</v>
      </c>
      <c r="G12" s="9" t="s">
        <v>80</v>
      </c>
    </row>
    <row r="13" spans="1:8" x14ac:dyDescent="0.2">
      <c r="A13" s="2">
        <v>1</v>
      </c>
      <c r="B13" s="2">
        <v>42</v>
      </c>
      <c r="C13" s="4">
        <v>0.1333333333333333</v>
      </c>
      <c r="E13" s="2">
        <v>1</v>
      </c>
      <c r="F13" s="2">
        <v>122</v>
      </c>
      <c r="G13" s="4">
        <v>0.38730158730158731</v>
      </c>
    </row>
    <row r="14" spans="1:8" x14ac:dyDescent="0.2">
      <c r="A14" s="2">
        <v>2</v>
      </c>
      <c r="B14" s="2">
        <v>198</v>
      </c>
      <c r="C14" s="4">
        <v>0.62857142857142856</v>
      </c>
      <c r="E14" s="2">
        <v>2</v>
      </c>
      <c r="F14" s="2">
        <v>183</v>
      </c>
      <c r="G14" s="4">
        <v>0.580952380952381</v>
      </c>
    </row>
    <row r="15" spans="1:8" x14ac:dyDescent="0.2">
      <c r="A15" s="2">
        <v>3</v>
      </c>
      <c r="B15" s="2">
        <v>41</v>
      </c>
      <c r="C15" s="4">
        <v>0.13015873015873011</v>
      </c>
      <c r="E15" s="2">
        <v>3</v>
      </c>
      <c r="F15" s="2">
        <v>10</v>
      </c>
      <c r="G15" s="4">
        <v>3.1746031746031703E-2</v>
      </c>
    </row>
    <row r="16" spans="1:8" x14ac:dyDescent="0.2">
      <c r="A16" s="2">
        <v>4</v>
      </c>
      <c r="B16" s="2">
        <v>19</v>
      </c>
      <c r="C16" s="4">
        <v>6.0317460317460297E-2</v>
      </c>
    </row>
    <row r="17" spans="1:8" x14ac:dyDescent="0.2">
      <c r="A17" s="2">
        <v>5</v>
      </c>
      <c r="B17" s="2">
        <v>11</v>
      </c>
      <c r="C17" s="4">
        <v>3.4920634920634901E-2</v>
      </c>
    </row>
    <row r="18" spans="1:8" x14ac:dyDescent="0.2">
      <c r="A18" s="2">
        <v>6</v>
      </c>
      <c r="B18" s="2">
        <v>2</v>
      </c>
      <c r="C18" s="4">
        <v>6.3492063492062998E-3</v>
      </c>
      <c r="E18" s="15" t="s">
        <v>83</v>
      </c>
      <c r="F18" s="15"/>
      <c r="G18" s="15"/>
      <c r="H18" s="15"/>
    </row>
    <row r="19" spans="1:8" x14ac:dyDescent="0.2">
      <c r="A19" s="2">
        <v>7</v>
      </c>
      <c r="B19" s="2">
        <v>2</v>
      </c>
      <c r="C19" s="4">
        <v>6.3492063492062998E-3</v>
      </c>
      <c r="E19" s="15"/>
      <c r="F19" s="15"/>
      <c r="G19" s="15"/>
      <c r="H19" s="15"/>
    </row>
    <row r="20" spans="1:8" x14ac:dyDescent="0.2">
      <c r="E20" s="15"/>
      <c r="F20" s="15"/>
      <c r="G20" s="15"/>
      <c r="H20" s="15"/>
    </row>
  </sheetData>
  <mergeCells count="6">
    <mergeCell ref="E18:H20"/>
    <mergeCell ref="A1:H2"/>
    <mergeCell ref="A3:H3"/>
    <mergeCell ref="A8:H9"/>
    <mergeCell ref="A11:C11"/>
    <mergeCell ref="E11:G1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6"/>
  <sheetViews>
    <sheetView showGridLines="0" zoomScale="85" zoomScaleNormal="85" workbookViewId="0">
      <pane ySplit="12" topLeftCell="A13" activePane="bottomLeft" state="frozen"/>
      <selection pane="bottomLeft" activeCell="K8" sqref="K8"/>
    </sheetView>
  </sheetViews>
  <sheetFormatPr baseColWidth="10" defaultColWidth="8.83203125" defaultRowHeight="15" x14ac:dyDescent="0.2"/>
  <cols>
    <col min="1" max="2" width="18.6640625" customWidth="1"/>
    <col min="3" max="3" width="19.6640625" customWidth="1"/>
    <col min="4" max="4" width="18.6640625" customWidth="1"/>
    <col min="5" max="5" width="21.6640625" customWidth="1"/>
    <col min="6" max="6" width="22.6640625" customWidth="1"/>
    <col min="7" max="8" width="19.6640625" customWidth="1"/>
  </cols>
  <sheetData>
    <row r="1" spans="1:8" ht="26" customHeight="1" x14ac:dyDescent="0.2">
      <c r="A1" s="14" t="s">
        <v>84</v>
      </c>
      <c r="B1" s="14"/>
      <c r="C1" s="14"/>
      <c r="D1" s="14"/>
      <c r="E1" s="14"/>
      <c r="F1" s="14"/>
      <c r="G1" s="14"/>
      <c r="H1" s="14"/>
    </row>
    <row r="2" spans="1:8" ht="26" customHeight="1" x14ac:dyDescent="0.2">
      <c r="A2" s="14"/>
      <c r="B2" s="14"/>
      <c r="C2" s="14"/>
      <c r="D2" s="14"/>
      <c r="E2" s="14"/>
      <c r="F2" s="14"/>
      <c r="G2" s="14"/>
      <c r="H2" s="14"/>
    </row>
    <row r="3" spans="1:8" x14ac:dyDescent="0.2">
      <c r="A3" s="16" t="s">
        <v>85</v>
      </c>
      <c r="B3" s="16"/>
      <c r="C3" s="16"/>
      <c r="D3" s="16"/>
      <c r="E3" s="16"/>
      <c r="F3" s="16"/>
      <c r="G3" s="16"/>
      <c r="H3" s="16"/>
    </row>
    <row r="5" spans="1:8" x14ac:dyDescent="0.2">
      <c r="A5" s="6" t="s">
        <v>86</v>
      </c>
      <c r="C5" s="6" t="s">
        <v>87</v>
      </c>
      <c r="E5" s="6" t="s">
        <v>88</v>
      </c>
      <c r="G5" s="6" t="s">
        <v>89</v>
      </c>
    </row>
    <row r="6" spans="1:8" ht="21" x14ac:dyDescent="0.2">
      <c r="A6" s="7">
        <v>315</v>
      </c>
      <c r="C6" s="7">
        <v>282</v>
      </c>
      <c r="E6" s="8">
        <v>0.89523809523809528</v>
      </c>
      <c r="G6" s="7">
        <v>33</v>
      </c>
    </row>
    <row r="8" spans="1:8" x14ac:dyDescent="0.2">
      <c r="A8" s="19" t="s">
        <v>90</v>
      </c>
      <c r="B8" s="19"/>
      <c r="C8" s="19"/>
      <c r="D8" s="19"/>
      <c r="E8" s="19"/>
      <c r="F8" s="19"/>
      <c r="G8" s="19"/>
      <c r="H8" s="19"/>
    </row>
    <row r="9" spans="1:8" x14ac:dyDescent="0.2">
      <c r="A9" s="19"/>
      <c r="B9" s="19"/>
      <c r="C9" s="19"/>
      <c r="D9" s="19"/>
      <c r="E9" s="19"/>
      <c r="F9" s="19"/>
      <c r="G9" s="19"/>
      <c r="H9" s="19"/>
    </row>
    <row r="11" spans="1:8" ht="26" x14ac:dyDescent="0.2">
      <c r="A11" s="6" t="s">
        <v>91</v>
      </c>
      <c r="C11" s="6" t="s">
        <v>92</v>
      </c>
      <c r="E11" s="6" t="s">
        <v>93</v>
      </c>
      <c r="G11" s="6" t="s">
        <v>94</v>
      </c>
    </row>
    <row r="12" spans="1:8" ht="21" x14ac:dyDescent="0.2">
      <c r="A12" s="10">
        <v>160.9719874233011</v>
      </c>
      <c r="C12" s="10">
        <v>51.452991003302202</v>
      </c>
      <c r="E12" s="11">
        <v>2143.6385106081402</v>
      </c>
      <c r="G12" s="7">
        <v>282</v>
      </c>
    </row>
    <row r="15" spans="1:8" x14ac:dyDescent="0.2">
      <c r="A15" s="18" t="s">
        <v>95</v>
      </c>
      <c r="B15" s="18"/>
      <c r="C15" s="18"/>
      <c r="D15" s="18"/>
      <c r="E15" s="18"/>
      <c r="F15" s="18"/>
    </row>
    <row r="16" spans="1:8" ht="16" x14ac:dyDescent="0.2">
      <c r="A16" s="9" t="s">
        <v>96</v>
      </c>
      <c r="B16" s="9" t="s">
        <v>97</v>
      </c>
      <c r="C16" s="9" t="s">
        <v>98</v>
      </c>
      <c r="D16" s="9" t="s">
        <v>11</v>
      </c>
      <c r="E16" s="9" t="s">
        <v>99</v>
      </c>
      <c r="F16" s="9" t="s">
        <v>100</v>
      </c>
    </row>
    <row r="17" spans="1:6" x14ac:dyDescent="0.2">
      <c r="A17" t="s">
        <v>27</v>
      </c>
      <c r="B17" s="12">
        <v>105.0300751879699</v>
      </c>
      <c r="C17" s="4">
        <v>0.31672597864768681</v>
      </c>
      <c r="D17" s="3">
        <v>13.93594306049822</v>
      </c>
      <c r="E17" s="12">
        <v>33.2657533513499</v>
      </c>
      <c r="F17" s="3">
        <v>1463.693147459396</v>
      </c>
    </row>
    <row r="18" spans="1:6" x14ac:dyDescent="0.2">
      <c r="A18" t="s">
        <v>32</v>
      </c>
      <c r="B18" s="12">
        <v>18.571428571428569</v>
      </c>
      <c r="C18" s="4">
        <v>0.26250000000000001</v>
      </c>
      <c r="D18" s="3">
        <v>11.55</v>
      </c>
      <c r="E18" s="12">
        <v>4.875</v>
      </c>
      <c r="F18" s="3">
        <v>214.5</v>
      </c>
    </row>
    <row r="19" spans="1:6" x14ac:dyDescent="0.2">
      <c r="A19" t="s">
        <v>28</v>
      </c>
      <c r="B19" s="12">
        <v>7.4658974358974364</v>
      </c>
      <c r="C19" s="4">
        <v>0.35135135135135132</v>
      </c>
      <c r="D19" s="3">
        <v>11.945945945945949</v>
      </c>
      <c r="E19" s="12">
        <v>2.623153153153154</v>
      </c>
      <c r="F19" s="3">
        <v>89.187207207207209</v>
      </c>
    </row>
    <row r="20" spans="1:6" x14ac:dyDescent="0.2">
      <c r="A20" t="s">
        <v>30</v>
      </c>
      <c r="B20" s="12">
        <v>4.645161290322581</v>
      </c>
      <c r="C20" s="4">
        <v>0.32608695652173908</v>
      </c>
      <c r="D20" s="3">
        <v>11.413043478260869</v>
      </c>
      <c r="E20" s="12">
        <v>1.514726507713885</v>
      </c>
      <c r="F20" s="3">
        <v>53.015427769985983</v>
      </c>
    </row>
    <row r="21" spans="1:6" x14ac:dyDescent="0.2">
      <c r="A21" t="s">
        <v>34</v>
      </c>
      <c r="B21" s="12">
        <v>2.421245421245422</v>
      </c>
      <c r="C21" s="4">
        <v>0.44</v>
      </c>
      <c r="D21" s="3">
        <v>19.8</v>
      </c>
      <c r="E21" s="12">
        <v>1.0653479853479859</v>
      </c>
      <c r="F21" s="3">
        <v>47.940659340659337</v>
      </c>
    </row>
    <row r="22" spans="1:6" x14ac:dyDescent="0.2">
      <c r="A22" t="s">
        <v>39</v>
      </c>
      <c r="B22" s="12">
        <v>3.3825757575757569</v>
      </c>
      <c r="C22" s="4">
        <v>0.46938775510204078</v>
      </c>
      <c r="D22" s="3">
        <v>13.142857142857141</v>
      </c>
      <c r="E22" s="12">
        <v>1.58773964131107</v>
      </c>
      <c r="F22" s="3">
        <v>44.456709956709943</v>
      </c>
    </row>
    <row r="23" spans="1:6" x14ac:dyDescent="0.2">
      <c r="A23" t="s">
        <v>33</v>
      </c>
      <c r="B23" s="12">
        <v>3.666666666666667</v>
      </c>
      <c r="C23" s="4">
        <v>0.3289473684210526</v>
      </c>
      <c r="D23" s="3">
        <v>11.513157894736841</v>
      </c>
      <c r="E23" s="12">
        <v>1.2061403508771931</v>
      </c>
      <c r="F23" s="3">
        <v>42.21491228070176</v>
      </c>
    </row>
    <row r="24" spans="1:6" x14ac:dyDescent="0.2">
      <c r="A24" t="s">
        <v>37</v>
      </c>
      <c r="B24" s="12">
        <v>4.2165322580645146</v>
      </c>
      <c r="C24" s="4">
        <v>0.24193548387096769</v>
      </c>
      <c r="D24" s="3">
        <v>8.4677419354838701</v>
      </c>
      <c r="E24" s="12">
        <v>1.0201287721123831</v>
      </c>
      <c r="F24" s="3">
        <v>35.704507023933402</v>
      </c>
    </row>
    <row r="25" spans="1:6" x14ac:dyDescent="0.2">
      <c r="A25" t="s">
        <v>29</v>
      </c>
      <c r="B25" s="12">
        <v>2.924050632911392</v>
      </c>
      <c r="C25" s="4">
        <v>0.35245901639344263</v>
      </c>
      <c r="D25" s="3">
        <v>11.983606557377049</v>
      </c>
      <c r="E25" s="12">
        <v>1.030608009960573</v>
      </c>
      <c r="F25" s="3">
        <v>35.040672338659483</v>
      </c>
    </row>
    <row r="26" spans="1:6" x14ac:dyDescent="0.2">
      <c r="A26" t="s">
        <v>31</v>
      </c>
      <c r="B26" s="12">
        <v>2</v>
      </c>
      <c r="C26" s="4">
        <v>0.3571428571428571</v>
      </c>
      <c r="D26" s="3">
        <v>12.142857142857141</v>
      </c>
      <c r="E26" s="12">
        <v>0.7142857142857143</v>
      </c>
      <c r="F26" s="3">
        <v>24.285714285714281</v>
      </c>
    </row>
    <row r="27" spans="1:6" x14ac:dyDescent="0.2">
      <c r="A27" t="s">
        <v>38</v>
      </c>
      <c r="B27" s="12">
        <v>1.485981308411215</v>
      </c>
      <c r="C27" s="4">
        <v>0.36065573770491799</v>
      </c>
      <c r="D27" s="3">
        <v>16.229508196721309</v>
      </c>
      <c r="E27" s="12">
        <v>0.53592768500076604</v>
      </c>
      <c r="F27" s="3">
        <v>24.116745825034471</v>
      </c>
    </row>
    <row r="28" spans="1:6" x14ac:dyDescent="0.2">
      <c r="A28" t="s">
        <v>40</v>
      </c>
      <c r="B28" s="12">
        <v>1.826086956521739</v>
      </c>
      <c r="C28" s="4">
        <v>0.37931034482758619</v>
      </c>
      <c r="D28" s="3">
        <v>12.896551724137931</v>
      </c>
      <c r="E28" s="12">
        <v>0.6926536731634183</v>
      </c>
      <c r="F28" s="3">
        <v>23.550224887556219</v>
      </c>
    </row>
    <row r="29" spans="1:6" x14ac:dyDescent="0.2">
      <c r="A29" t="s">
        <v>36</v>
      </c>
      <c r="B29" s="12">
        <v>1.6332556332556329</v>
      </c>
      <c r="C29" s="4">
        <v>0.33333333333333331</v>
      </c>
      <c r="D29" s="3">
        <v>11.66666666666667</v>
      </c>
      <c r="E29" s="12">
        <v>0.54441854441854443</v>
      </c>
      <c r="F29" s="3">
        <v>19.054649054649051</v>
      </c>
    </row>
    <row r="30" spans="1:6" x14ac:dyDescent="0.2">
      <c r="A30" t="s">
        <v>35</v>
      </c>
      <c r="B30" s="12">
        <v>0.83333333333333337</v>
      </c>
      <c r="C30" s="4">
        <v>0.47692307692307689</v>
      </c>
      <c r="D30" s="3">
        <v>16.692307692307701</v>
      </c>
      <c r="E30" s="12">
        <v>0.39743589743589741</v>
      </c>
      <c r="F30" s="3">
        <v>13.910256410256411</v>
      </c>
    </row>
    <row r="31" spans="1:6" x14ac:dyDescent="0.2">
      <c r="A31" t="s">
        <v>48</v>
      </c>
      <c r="B31" s="12">
        <v>0.63636363636363635</v>
      </c>
      <c r="C31" s="4">
        <v>0.42857142857142849</v>
      </c>
      <c r="D31" s="3">
        <v>15</v>
      </c>
      <c r="E31" s="12">
        <v>0.27272727272727271</v>
      </c>
      <c r="F31" s="3">
        <v>9.5454545454545432</v>
      </c>
    </row>
    <row r="32" spans="1:6" x14ac:dyDescent="0.2">
      <c r="A32" t="s">
        <v>41</v>
      </c>
      <c r="B32" s="12">
        <v>0.23333333333333331</v>
      </c>
      <c r="C32" s="4">
        <v>0.45833333333333331</v>
      </c>
      <c r="D32" s="3">
        <v>14.66666666666667</v>
      </c>
      <c r="E32" s="12">
        <v>0.1069444444444444</v>
      </c>
      <c r="F32" s="3">
        <v>3.4222222222222221</v>
      </c>
    </row>
    <row r="34" spans="1:8" x14ac:dyDescent="0.2">
      <c r="A34" s="15" t="s">
        <v>101</v>
      </c>
      <c r="B34" s="15"/>
      <c r="C34" s="15"/>
      <c r="D34" s="15"/>
      <c r="E34" s="15"/>
      <c r="F34" s="15"/>
      <c r="G34" s="15"/>
      <c r="H34" s="15"/>
    </row>
    <row r="35" spans="1:8" x14ac:dyDescent="0.2">
      <c r="A35" s="15"/>
      <c r="B35" s="15"/>
      <c r="C35" s="15"/>
      <c r="D35" s="15"/>
      <c r="E35" s="15"/>
      <c r="F35" s="15"/>
      <c r="G35" s="15"/>
      <c r="H35" s="15"/>
    </row>
    <row r="36" spans="1:8" x14ac:dyDescent="0.2">
      <c r="A36" s="15"/>
      <c r="B36" s="15"/>
      <c r="C36" s="15"/>
      <c r="D36" s="15"/>
      <c r="E36" s="15"/>
      <c r="F36" s="15"/>
      <c r="G36" s="15"/>
      <c r="H36" s="15"/>
    </row>
  </sheetData>
  <mergeCells count="5">
    <mergeCell ref="A1:H2"/>
    <mergeCell ref="A3:H3"/>
    <mergeCell ref="A8:H9"/>
    <mergeCell ref="A15:F15"/>
    <mergeCell ref="A34:H36"/>
  </mergeCells>
  <conditionalFormatting sqref="B17:B32">
    <cfRule type="dataBar" priority="1">
      <dataBar>
        <cfvo type="min"/>
        <cfvo type="max"/>
        <color rgb="FF6BAED6"/>
      </dataBar>
    </cfRule>
  </conditionalFormatting>
  <conditionalFormatting sqref="F17:F32">
    <cfRule type="dataBar" priority="2">
      <dataBar>
        <cfvo type="min"/>
        <cfvo type="max"/>
        <color rgb="FF74C69D"/>
      </dataBar>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showGridLines="0" tabSelected="1" zoomScale="85" zoomScaleNormal="85" workbookViewId="0">
      <pane xSplit="1" ySplit="12" topLeftCell="B13" activePane="bottomRight" state="frozen"/>
      <selection pane="topRight" activeCell="B1" sqref="B1"/>
      <selection pane="bottomLeft" activeCell="A13" sqref="A13"/>
      <selection pane="bottomRight" activeCell="X24" sqref="X24"/>
    </sheetView>
  </sheetViews>
  <sheetFormatPr baseColWidth="10" defaultColWidth="8.83203125" defaultRowHeight="15" x14ac:dyDescent="0.2"/>
  <cols>
    <col min="1" max="1" width="20.6640625" customWidth="1"/>
    <col min="2" max="13" width="15.6640625" customWidth="1"/>
    <col min="14" max="14" width="2.6640625" customWidth="1"/>
    <col min="15" max="15" width="16.6640625" hidden="1" customWidth="1"/>
    <col min="16" max="16" width="14.33203125" customWidth="1"/>
    <col min="17" max="17" width="19.1640625" customWidth="1"/>
    <col min="18" max="18" width="11.5" customWidth="1"/>
    <col min="19" max="19" width="24.33203125" customWidth="1"/>
  </cols>
  <sheetData>
    <row r="1" spans="1:19" ht="26" customHeight="1" x14ac:dyDescent="0.2">
      <c r="A1" s="14" t="s">
        <v>102</v>
      </c>
      <c r="B1" s="14"/>
      <c r="C1" s="14"/>
      <c r="D1" s="14"/>
      <c r="E1" s="14"/>
      <c r="F1" s="14"/>
      <c r="G1" s="14"/>
      <c r="H1" s="14"/>
      <c r="I1" s="14"/>
      <c r="J1" s="14"/>
      <c r="K1" s="14"/>
      <c r="L1" s="14"/>
      <c r="M1" s="14"/>
    </row>
    <row r="2" spans="1:19" ht="26" customHeight="1" x14ac:dyDescent="0.2">
      <c r="A2" s="14"/>
      <c r="B2" s="14"/>
      <c r="C2" s="14"/>
      <c r="D2" s="14"/>
      <c r="E2" s="14"/>
      <c r="F2" s="14"/>
      <c r="G2" s="14"/>
      <c r="H2" s="14"/>
      <c r="I2" s="14"/>
      <c r="J2" s="14"/>
      <c r="K2" s="14"/>
      <c r="L2" s="14"/>
      <c r="M2" s="14"/>
      <c r="O2" s="9" t="s">
        <v>127</v>
      </c>
      <c r="P2" s="9" t="s">
        <v>128</v>
      </c>
      <c r="Q2" s="9" t="s">
        <v>129</v>
      </c>
      <c r="R2" s="9" t="s">
        <v>130</v>
      </c>
      <c r="S2" s="9" t="s">
        <v>131</v>
      </c>
    </row>
    <row r="3" spans="1:19" x14ac:dyDescent="0.2">
      <c r="A3" s="16" t="s">
        <v>103</v>
      </c>
      <c r="B3" s="16"/>
      <c r="C3" s="16"/>
      <c r="D3" s="16"/>
      <c r="E3" s="16"/>
      <c r="F3" s="16"/>
      <c r="G3" s="16"/>
      <c r="H3" s="16"/>
      <c r="I3" s="16"/>
      <c r="J3" s="16"/>
      <c r="K3" s="16"/>
      <c r="L3" s="16"/>
      <c r="M3" s="16"/>
      <c r="O3" s="4">
        <v>0</v>
      </c>
      <c r="P3" s="13">
        <v>-628.36148939186023</v>
      </c>
      <c r="Q3" s="13">
        <v>-188.3614893918602</v>
      </c>
      <c r="R3" s="13">
        <v>-56.361489391860232</v>
      </c>
      <c r="S3" s="13">
        <v>31.638510608139772</v>
      </c>
    </row>
    <row r="4" spans="1:19" x14ac:dyDescent="0.2">
      <c r="O4" s="4">
        <v>0.1</v>
      </c>
      <c r="P4" s="13">
        <v>-588.65524356263541</v>
      </c>
      <c r="Q4" s="13">
        <v>-148.65524356263541</v>
      </c>
      <c r="R4" s="13">
        <v>-16.655243562635409</v>
      </c>
      <c r="S4" s="13">
        <v>71.344756437364595</v>
      </c>
    </row>
    <row r="5" spans="1:19" ht="39" x14ac:dyDescent="0.2">
      <c r="A5" s="6" t="s">
        <v>104</v>
      </c>
      <c r="C5" s="6" t="s">
        <v>105</v>
      </c>
      <c r="E5" s="6" t="s">
        <v>106</v>
      </c>
      <c r="G5" s="6" t="s">
        <v>107</v>
      </c>
      <c r="O5" s="4">
        <v>0.2</v>
      </c>
      <c r="P5" s="13">
        <v>-548.94899773341012</v>
      </c>
      <c r="Q5" s="13">
        <v>-108.9489977334101</v>
      </c>
      <c r="R5" s="13">
        <v>23.051002266589879</v>
      </c>
      <c r="S5" s="13">
        <v>111.0510022665899</v>
      </c>
    </row>
    <row r="6" spans="1:19" ht="21" x14ac:dyDescent="0.2">
      <c r="A6" s="11">
        <v>2143.6385106081402</v>
      </c>
      <c r="C6" s="11">
        <v>397.06245829224991</v>
      </c>
      <c r="E6" s="7">
        <v>6</v>
      </c>
      <c r="G6" s="7">
        <v>15</v>
      </c>
      <c r="O6" s="4">
        <v>0.3</v>
      </c>
      <c r="P6" s="13">
        <v>-509.2427519041853</v>
      </c>
      <c r="Q6" s="13">
        <v>-69.242751904185297</v>
      </c>
      <c r="R6" s="13">
        <v>62.757248095814703</v>
      </c>
      <c r="S6" s="13">
        <v>150.7572480958147</v>
      </c>
    </row>
    <row r="7" spans="1:19" x14ac:dyDescent="0.2">
      <c r="O7" s="4">
        <v>0.4</v>
      </c>
      <c r="P7" s="13">
        <v>-469.53650607496053</v>
      </c>
      <c r="Q7" s="13">
        <v>-29.536506074960471</v>
      </c>
      <c r="R7" s="13">
        <v>102.4634939250395</v>
      </c>
      <c r="S7" s="13">
        <v>190.4634939250395</v>
      </c>
    </row>
    <row r="8" spans="1:19" x14ac:dyDescent="0.2">
      <c r="A8" s="17" t="s">
        <v>108</v>
      </c>
      <c r="B8" s="17"/>
      <c r="C8" s="17"/>
      <c r="D8" s="17"/>
      <c r="E8" s="17"/>
      <c r="F8" s="17"/>
      <c r="G8" s="17"/>
      <c r="H8" s="17"/>
      <c r="O8" s="4">
        <v>0.5</v>
      </c>
      <c r="P8" s="13">
        <v>-429.83026024573519</v>
      </c>
      <c r="Q8" s="13">
        <v>10.16973975426481</v>
      </c>
      <c r="R8" s="13">
        <v>142.16973975426481</v>
      </c>
      <c r="S8" s="13">
        <v>230.16973975426481</v>
      </c>
    </row>
    <row r="9" spans="1:19" x14ac:dyDescent="0.2">
      <c r="A9" s="17"/>
      <c r="B9" s="17"/>
      <c r="C9" s="17"/>
      <c r="D9" s="17"/>
      <c r="E9" s="17"/>
      <c r="F9" s="17"/>
      <c r="G9" s="17"/>
      <c r="H9" s="17"/>
      <c r="O9" s="4">
        <v>0.6</v>
      </c>
      <c r="P9" s="13">
        <v>-390.12401441651042</v>
      </c>
      <c r="Q9" s="13">
        <v>49.875985583489637</v>
      </c>
      <c r="R9" s="13">
        <v>181.87598558348961</v>
      </c>
      <c r="S9" s="13">
        <v>269.87598558348958</v>
      </c>
    </row>
    <row r="10" spans="1:19" x14ac:dyDescent="0.2">
      <c r="A10" s="17"/>
      <c r="B10" s="17"/>
      <c r="C10" s="17"/>
      <c r="D10" s="17"/>
      <c r="E10" s="17"/>
      <c r="F10" s="17"/>
      <c r="G10" s="17"/>
      <c r="H10" s="17"/>
      <c r="O10" s="4">
        <v>0.7</v>
      </c>
      <c r="P10" s="13">
        <v>-350.41776858728548</v>
      </c>
      <c r="Q10" s="13">
        <v>89.582231412714464</v>
      </c>
      <c r="R10" s="13">
        <v>221.58223141271449</v>
      </c>
      <c r="S10" s="13">
        <v>309.58223141271452</v>
      </c>
    </row>
    <row r="11" spans="1:19" x14ac:dyDescent="0.2">
      <c r="O11" s="4">
        <v>0.8</v>
      </c>
      <c r="P11" s="13">
        <v>-310.71152275806031</v>
      </c>
      <c r="Q11" s="13">
        <v>129.28847724193969</v>
      </c>
      <c r="R11" s="13">
        <v>261.28847724193969</v>
      </c>
      <c r="S11" s="13">
        <v>349.28847724193969</v>
      </c>
    </row>
    <row r="12" spans="1:19" x14ac:dyDescent="0.2">
      <c r="A12" s="18" t="s">
        <v>109</v>
      </c>
      <c r="B12" s="18"/>
      <c r="C12" s="18"/>
      <c r="D12" s="18"/>
      <c r="O12" s="4">
        <v>0.9</v>
      </c>
      <c r="P12" s="13">
        <v>-271.00527692883543</v>
      </c>
      <c r="Q12" s="13">
        <v>168.9947230711646</v>
      </c>
      <c r="R12" s="13">
        <v>300.99472307116457</v>
      </c>
      <c r="S12" s="13">
        <v>388.99472307116457</v>
      </c>
    </row>
    <row r="13" spans="1:19" ht="32" x14ac:dyDescent="0.2">
      <c r="A13" s="9" t="s">
        <v>110</v>
      </c>
      <c r="B13" s="9" t="s">
        <v>111</v>
      </c>
      <c r="C13" s="9" t="s">
        <v>112</v>
      </c>
      <c r="D13" s="9" t="s">
        <v>113</v>
      </c>
      <c r="O13" s="4">
        <v>1</v>
      </c>
      <c r="P13" s="13">
        <v>-231.29903109961009</v>
      </c>
      <c r="Q13" s="13">
        <v>208.70096890038991</v>
      </c>
      <c r="R13" s="13">
        <v>340.70096890038991</v>
      </c>
      <c r="S13" s="13">
        <v>428.70096890038991</v>
      </c>
    </row>
    <row r="14" spans="1:19" x14ac:dyDescent="0.2">
      <c r="A14" s="2">
        <v>0</v>
      </c>
      <c r="B14" s="3">
        <v>0</v>
      </c>
      <c r="C14" s="3">
        <v>2772</v>
      </c>
      <c r="D14" s="4">
        <v>1.582525560574068</v>
      </c>
    </row>
    <row r="15" spans="1:19" x14ac:dyDescent="0.2">
      <c r="A15" s="2">
        <v>5</v>
      </c>
      <c r="B15" s="3">
        <v>220</v>
      </c>
      <c r="C15" s="3">
        <v>2552</v>
      </c>
      <c r="D15" s="4">
        <v>1.028456558568158</v>
      </c>
    </row>
    <row r="16" spans="1:19" x14ac:dyDescent="0.2">
      <c r="A16" s="2">
        <v>6</v>
      </c>
      <c r="B16" s="3">
        <v>264</v>
      </c>
      <c r="C16" s="3">
        <v>2508</v>
      </c>
      <c r="D16" s="4">
        <v>0.91764275816697638</v>
      </c>
    </row>
    <row r="17" spans="1:13" x14ac:dyDescent="0.2">
      <c r="A17" s="2">
        <v>10</v>
      </c>
      <c r="B17" s="3">
        <v>440</v>
      </c>
      <c r="C17" s="3">
        <v>2332</v>
      </c>
      <c r="D17" s="4">
        <v>0.47438755656224879</v>
      </c>
    </row>
    <row r="18" spans="1:13" x14ac:dyDescent="0.2">
      <c r="A18" s="2">
        <v>13</v>
      </c>
      <c r="B18" s="3">
        <v>572</v>
      </c>
      <c r="C18" s="3">
        <v>2200</v>
      </c>
      <c r="D18" s="4">
        <v>0.141946155358703</v>
      </c>
    </row>
    <row r="19" spans="1:13" x14ac:dyDescent="0.2">
      <c r="A19" s="2">
        <v>14</v>
      </c>
      <c r="B19" s="3">
        <v>616</v>
      </c>
      <c r="C19" s="3">
        <v>2156</v>
      </c>
      <c r="D19" s="4">
        <v>3.1132354957521001E-2</v>
      </c>
    </row>
    <row r="20" spans="1:13" x14ac:dyDescent="0.2">
      <c r="A20" s="2">
        <v>15</v>
      </c>
      <c r="B20" s="3">
        <v>660</v>
      </c>
      <c r="C20" s="3">
        <v>2112</v>
      </c>
      <c r="D20" s="4">
        <v>-7.9681445443660806E-2</v>
      </c>
    </row>
    <row r="31" spans="1:13" x14ac:dyDescent="0.2">
      <c r="F31" s="15" t="s">
        <v>132</v>
      </c>
      <c r="G31" s="15"/>
      <c r="H31" s="15"/>
      <c r="I31" s="15"/>
      <c r="J31" s="15"/>
      <c r="K31" s="15"/>
      <c r="L31" s="15"/>
      <c r="M31" s="15"/>
    </row>
    <row r="32" spans="1:13" x14ac:dyDescent="0.2">
      <c r="F32" s="15"/>
      <c r="G32" s="15"/>
      <c r="H32" s="15"/>
      <c r="I32" s="15"/>
      <c r="J32" s="15"/>
      <c r="K32" s="15"/>
      <c r="L32" s="15"/>
      <c r="M32" s="15"/>
    </row>
    <row r="33" spans="1:13" x14ac:dyDescent="0.2">
      <c r="F33" s="15"/>
      <c r="G33" s="15"/>
      <c r="H33" s="15"/>
      <c r="I33" s="15"/>
      <c r="J33" s="15"/>
      <c r="K33" s="15"/>
      <c r="L33" s="15"/>
      <c r="M33" s="15"/>
    </row>
    <row r="34" spans="1:13" x14ac:dyDescent="0.2">
      <c r="F34" s="15"/>
      <c r="G34" s="15"/>
      <c r="H34" s="15"/>
      <c r="I34" s="15"/>
      <c r="J34" s="15"/>
      <c r="K34" s="15"/>
      <c r="L34" s="15"/>
      <c r="M34" s="15"/>
    </row>
    <row r="37" spans="1:13" x14ac:dyDescent="0.2">
      <c r="A37" s="18" t="s">
        <v>114</v>
      </c>
      <c r="B37" s="18"/>
      <c r="C37" s="18"/>
      <c r="D37" s="18"/>
      <c r="E37" s="18"/>
      <c r="F37" s="18"/>
      <c r="G37" s="18"/>
      <c r="H37" s="18"/>
      <c r="I37" s="18"/>
      <c r="J37" s="18"/>
      <c r="K37" s="18"/>
      <c r="L37" s="18"/>
    </row>
    <row r="38" spans="1:13" ht="16" x14ac:dyDescent="0.2">
      <c r="A38" s="9" t="s">
        <v>115</v>
      </c>
      <c r="B38" s="9" t="s">
        <v>116</v>
      </c>
      <c r="C38" s="9" t="s">
        <v>117</v>
      </c>
      <c r="D38" s="9" t="s">
        <v>118</v>
      </c>
      <c r="E38" s="9" t="s">
        <v>119</v>
      </c>
      <c r="F38" s="9" t="s">
        <v>120</v>
      </c>
      <c r="G38" s="9" t="s">
        <v>121</v>
      </c>
      <c r="H38" s="9" t="s">
        <v>122</v>
      </c>
      <c r="I38" s="9" t="s">
        <v>123</v>
      </c>
      <c r="J38" s="9" t="s">
        <v>124</v>
      </c>
      <c r="K38" s="9" t="s">
        <v>125</v>
      </c>
      <c r="L38" s="9" t="s">
        <v>126</v>
      </c>
    </row>
    <row r="39" spans="1:13" x14ac:dyDescent="0.2">
      <c r="A39" s="2">
        <v>0</v>
      </c>
      <c r="B39" s="13">
        <v>-628.36148939186023</v>
      </c>
      <c r="C39" s="13">
        <v>-588.65524356263541</v>
      </c>
      <c r="D39" s="13">
        <v>-548.94899773341012</v>
      </c>
      <c r="E39" s="13">
        <v>-509.2427519041853</v>
      </c>
      <c r="F39" s="13">
        <v>-469.53650607496053</v>
      </c>
      <c r="G39" s="13">
        <v>-429.83026024573519</v>
      </c>
      <c r="H39" s="13">
        <v>-390.12401441651042</v>
      </c>
      <c r="I39" s="13">
        <v>-350.41776858728548</v>
      </c>
      <c r="J39" s="13">
        <v>-310.71152275806031</v>
      </c>
      <c r="K39" s="13">
        <v>-271.00527692883543</v>
      </c>
      <c r="L39" s="13">
        <v>-231.29903109961009</v>
      </c>
    </row>
    <row r="40" spans="1:13" x14ac:dyDescent="0.2">
      <c r="A40" s="2">
        <v>1</v>
      </c>
      <c r="B40" s="13">
        <v>-584.36148939186023</v>
      </c>
      <c r="C40" s="13">
        <v>-544.65524356263541</v>
      </c>
      <c r="D40" s="13">
        <v>-504.94899773341012</v>
      </c>
      <c r="E40" s="13">
        <v>-465.2427519041853</v>
      </c>
      <c r="F40" s="13">
        <v>-425.53650607496053</v>
      </c>
      <c r="G40" s="13">
        <v>-385.83026024573519</v>
      </c>
      <c r="H40" s="13">
        <v>-346.12401441651042</v>
      </c>
      <c r="I40" s="13">
        <v>-306.41776858728548</v>
      </c>
      <c r="J40" s="13">
        <v>-266.71152275806031</v>
      </c>
      <c r="K40" s="13">
        <v>-227.0052769288354</v>
      </c>
      <c r="L40" s="13">
        <v>-187.29903109961009</v>
      </c>
    </row>
    <row r="41" spans="1:13" x14ac:dyDescent="0.2">
      <c r="A41" s="2">
        <v>2</v>
      </c>
      <c r="B41" s="13">
        <v>-540.36148939186023</v>
      </c>
      <c r="C41" s="13">
        <v>-500.65524356263541</v>
      </c>
      <c r="D41" s="13">
        <v>-460.94899773341012</v>
      </c>
      <c r="E41" s="13">
        <v>-421.2427519041853</v>
      </c>
      <c r="F41" s="13">
        <v>-381.53650607496053</v>
      </c>
      <c r="G41" s="13">
        <v>-341.83026024573519</v>
      </c>
      <c r="H41" s="13">
        <v>-302.12401441651042</v>
      </c>
      <c r="I41" s="13">
        <v>-262.41776858728548</v>
      </c>
      <c r="J41" s="13">
        <v>-222.7115227580602</v>
      </c>
      <c r="K41" s="13">
        <v>-183.0052769288354</v>
      </c>
      <c r="L41" s="13">
        <v>-143.29903109961009</v>
      </c>
    </row>
    <row r="42" spans="1:13" x14ac:dyDescent="0.2">
      <c r="A42" s="2">
        <v>3</v>
      </c>
      <c r="B42" s="13">
        <v>-496.36148939186018</v>
      </c>
      <c r="C42" s="13">
        <v>-456.65524356263541</v>
      </c>
      <c r="D42" s="13">
        <v>-416.94899773341012</v>
      </c>
      <c r="E42" s="13">
        <v>-377.2427519041853</v>
      </c>
      <c r="F42" s="13">
        <v>-337.53650607496053</v>
      </c>
      <c r="G42" s="13">
        <v>-297.83026024573519</v>
      </c>
      <c r="H42" s="13">
        <v>-258.12401441651042</v>
      </c>
      <c r="I42" s="13">
        <v>-218.41776858728551</v>
      </c>
      <c r="J42" s="13">
        <v>-178.71152275806031</v>
      </c>
      <c r="K42" s="13">
        <v>-139.0052769288354</v>
      </c>
      <c r="L42" s="13">
        <v>-99.299031099610161</v>
      </c>
    </row>
    <row r="43" spans="1:13" x14ac:dyDescent="0.2">
      <c r="A43" s="2">
        <v>4</v>
      </c>
      <c r="B43" s="13">
        <v>-452.36148939186018</v>
      </c>
      <c r="C43" s="13">
        <v>-412.65524356263541</v>
      </c>
      <c r="D43" s="13">
        <v>-372.94899773341012</v>
      </c>
      <c r="E43" s="13">
        <v>-333.2427519041853</v>
      </c>
      <c r="F43" s="13">
        <v>-293.53650607496053</v>
      </c>
      <c r="G43" s="13">
        <v>-253.83026024573519</v>
      </c>
      <c r="H43" s="13">
        <v>-214.12401441651039</v>
      </c>
      <c r="I43" s="13">
        <v>-174.41776858728551</v>
      </c>
      <c r="J43" s="13">
        <v>-134.71152275806031</v>
      </c>
      <c r="K43" s="13">
        <v>-95.005276928835443</v>
      </c>
      <c r="L43" s="13">
        <v>-55.299031099610147</v>
      </c>
    </row>
    <row r="44" spans="1:13" x14ac:dyDescent="0.2">
      <c r="A44" s="2">
        <v>5</v>
      </c>
      <c r="B44" s="13">
        <v>-408.36148939186018</v>
      </c>
      <c r="C44" s="13">
        <v>-368.65524356263541</v>
      </c>
      <c r="D44" s="13">
        <v>-328.94899773341012</v>
      </c>
      <c r="E44" s="13">
        <v>-289.2427519041853</v>
      </c>
      <c r="F44" s="13">
        <v>-249.5365060749605</v>
      </c>
      <c r="G44" s="13">
        <v>-209.83026024573519</v>
      </c>
      <c r="H44" s="13">
        <v>-170.12401441651039</v>
      </c>
      <c r="I44" s="13">
        <v>-130.41776858728551</v>
      </c>
      <c r="J44" s="13">
        <v>-90.711522758060255</v>
      </c>
      <c r="K44" s="13">
        <v>-51.005276928835428</v>
      </c>
      <c r="L44" s="13">
        <v>-11.299031099610151</v>
      </c>
    </row>
    <row r="45" spans="1:13" x14ac:dyDescent="0.2">
      <c r="A45" s="2">
        <v>6</v>
      </c>
      <c r="B45" s="13">
        <v>-364.36148939186018</v>
      </c>
      <c r="C45" s="13">
        <v>-324.65524356263541</v>
      </c>
      <c r="D45" s="13">
        <v>-284.94899773341012</v>
      </c>
      <c r="E45" s="13">
        <v>-245.2427519041853</v>
      </c>
      <c r="F45" s="13">
        <v>-205.5365060749605</v>
      </c>
      <c r="G45" s="13">
        <v>-165.83026024573519</v>
      </c>
      <c r="H45" s="13">
        <v>-126.12401441651041</v>
      </c>
      <c r="I45" s="13">
        <v>-86.417768587285536</v>
      </c>
      <c r="J45" s="13">
        <v>-46.711522758060262</v>
      </c>
      <c r="K45" s="13">
        <v>-7.0052769288354284</v>
      </c>
      <c r="L45" s="13">
        <v>32.700968900389853</v>
      </c>
    </row>
    <row r="46" spans="1:13" x14ac:dyDescent="0.2">
      <c r="A46" s="2">
        <v>7</v>
      </c>
      <c r="B46" s="13">
        <v>-320.36148939186018</v>
      </c>
      <c r="C46" s="13">
        <v>-280.65524356263541</v>
      </c>
      <c r="D46" s="13">
        <v>-240.9489977334101</v>
      </c>
      <c r="E46" s="13">
        <v>-201.2427519041853</v>
      </c>
      <c r="F46" s="13">
        <v>-161.5365060749605</v>
      </c>
      <c r="G46" s="13">
        <v>-121.8302602457352</v>
      </c>
      <c r="H46" s="13">
        <v>-82.124014416510363</v>
      </c>
      <c r="I46" s="13">
        <v>-42.417768587285543</v>
      </c>
      <c r="J46" s="13">
        <v>-2.711522758060255</v>
      </c>
      <c r="K46" s="13">
        <v>36.994723071164572</v>
      </c>
      <c r="L46" s="13">
        <v>76.700968900389853</v>
      </c>
    </row>
    <row r="47" spans="1:13" x14ac:dyDescent="0.2">
      <c r="A47" s="2">
        <v>8</v>
      </c>
      <c r="B47" s="13">
        <v>-276.36148939186018</v>
      </c>
      <c r="C47" s="13">
        <v>-236.65524356263541</v>
      </c>
      <c r="D47" s="13">
        <v>-196.9489977334101</v>
      </c>
      <c r="E47" s="13">
        <v>-157.2427519041853</v>
      </c>
      <c r="F47" s="13">
        <v>-117.5365060749605</v>
      </c>
      <c r="G47" s="13">
        <v>-77.83026024573519</v>
      </c>
      <c r="H47" s="13">
        <v>-38.124014416510363</v>
      </c>
      <c r="I47" s="13">
        <v>1.5822314127144641</v>
      </c>
      <c r="J47" s="13">
        <v>41.288477241939738</v>
      </c>
      <c r="K47" s="13">
        <v>80.994723071164572</v>
      </c>
      <c r="L47" s="13">
        <v>120.7009689003898</v>
      </c>
    </row>
    <row r="48" spans="1:13" x14ac:dyDescent="0.2">
      <c r="A48" s="2">
        <v>9</v>
      </c>
      <c r="B48" s="13">
        <v>-232.3614893918602</v>
      </c>
      <c r="C48" s="13">
        <v>-192.65524356263541</v>
      </c>
      <c r="D48" s="13">
        <v>-152.9489977334101</v>
      </c>
      <c r="E48" s="13">
        <v>-113.2427519041853</v>
      </c>
      <c r="F48" s="13">
        <v>-73.536506074960471</v>
      </c>
      <c r="G48" s="13">
        <v>-33.83026024573519</v>
      </c>
      <c r="H48" s="13">
        <v>5.8759855834896371</v>
      </c>
      <c r="I48" s="13">
        <v>45.582231412714457</v>
      </c>
      <c r="J48" s="13">
        <v>85.288477241939745</v>
      </c>
      <c r="K48" s="13">
        <v>124.9947230711646</v>
      </c>
      <c r="L48" s="13">
        <v>164.70096890038991</v>
      </c>
    </row>
    <row r="49" spans="1:12" x14ac:dyDescent="0.2">
      <c r="A49" s="2">
        <v>10</v>
      </c>
      <c r="B49" s="13">
        <v>-188.3614893918602</v>
      </c>
      <c r="C49" s="13">
        <v>-148.65524356263541</v>
      </c>
      <c r="D49" s="13">
        <v>-108.9489977334101</v>
      </c>
      <c r="E49" s="13">
        <v>-69.242751904185297</v>
      </c>
      <c r="F49" s="13">
        <v>-29.536506074960471</v>
      </c>
      <c r="G49" s="13">
        <v>10.16973975426481</v>
      </c>
      <c r="H49" s="13">
        <v>49.875985583489637</v>
      </c>
      <c r="I49" s="13">
        <v>89.582231412714464</v>
      </c>
      <c r="J49" s="13">
        <v>129.28847724193969</v>
      </c>
      <c r="K49" s="13">
        <v>168.9947230711646</v>
      </c>
      <c r="L49" s="13">
        <v>208.70096890038991</v>
      </c>
    </row>
    <row r="50" spans="1:12" x14ac:dyDescent="0.2">
      <c r="A50" s="2">
        <v>11</v>
      </c>
      <c r="B50" s="13">
        <v>-144.3614893918602</v>
      </c>
      <c r="C50" s="13">
        <v>-104.65524356263541</v>
      </c>
      <c r="D50" s="13">
        <v>-64.948997733410124</v>
      </c>
      <c r="E50" s="13">
        <v>-25.242751904185301</v>
      </c>
      <c r="F50" s="13">
        <v>14.463493925039529</v>
      </c>
      <c r="G50" s="13">
        <v>54.16973975426481</v>
      </c>
      <c r="H50" s="13">
        <v>93.875985583489637</v>
      </c>
      <c r="I50" s="13">
        <v>133.58223141271449</v>
      </c>
      <c r="J50" s="13">
        <v>173.28847724193969</v>
      </c>
      <c r="K50" s="13">
        <v>212.9947230711646</v>
      </c>
      <c r="L50" s="13">
        <v>252.70096890038991</v>
      </c>
    </row>
    <row r="51" spans="1:12" x14ac:dyDescent="0.2">
      <c r="A51" s="2">
        <v>12</v>
      </c>
      <c r="B51" s="13">
        <v>-100.3614893918602</v>
      </c>
      <c r="C51" s="13">
        <v>-60.655243562635413</v>
      </c>
      <c r="D51" s="13">
        <v>-20.948997733410121</v>
      </c>
      <c r="E51" s="13">
        <v>18.757248095814699</v>
      </c>
      <c r="F51" s="13">
        <v>58.463493925039529</v>
      </c>
      <c r="G51" s="13">
        <v>98.169739754264796</v>
      </c>
      <c r="H51" s="13">
        <v>137.87598558348961</v>
      </c>
      <c r="I51" s="13">
        <v>177.58223141271449</v>
      </c>
      <c r="J51" s="13">
        <v>217.2884772419398</v>
      </c>
      <c r="K51" s="13">
        <v>256.99472307116457</v>
      </c>
      <c r="L51" s="13">
        <v>296.70096890038991</v>
      </c>
    </row>
    <row r="52" spans="1:12" x14ac:dyDescent="0.2">
      <c r="A52" s="2">
        <v>13</v>
      </c>
      <c r="B52" s="13">
        <v>-56.361489391860232</v>
      </c>
      <c r="C52" s="13">
        <v>-16.655243562635409</v>
      </c>
      <c r="D52" s="13">
        <v>23.051002266589879</v>
      </c>
      <c r="E52" s="13">
        <v>62.757248095814703</v>
      </c>
      <c r="F52" s="13">
        <v>102.4634939250395</v>
      </c>
      <c r="G52" s="13">
        <v>142.16973975426481</v>
      </c>
      <c r="H52" s="13">
        <v>181.87598558348961</v>
      </c>
      <c r="I52" s="13">
        <v>221.58223141271449</v>
      </c>
      <c r="J52" s="13">
        <v>261.28847724193969</v>
      </c>
      <c r="K52" s="13">
        <v>300.99472307116457</v>
      </c>
      <c r="L52" s="13">
        <v>340.70096890038991</v>
      </c>
    </row>
    <row r="53" spans="1:12" x14ac:dyDescent="0.2">
      <c r="A53" s="2">
        <v>14</v>
      </c>
      <c r="B53" s="13">
        <v>-12.36148939186023</v>
      </c>
      <c r="C53" s="13">
        <v>27.344756437364591</v>
      </c>
      <c r="D53" s="13">
        <v>67.051002266589876</v>
      </c>
      <c r="E53" s="13">
        <v>106.7572480958147</v>
      </c>
      <c r="F53" s="13">
        <v>146.4634939250395</v>
      </c>
      <c r="G53" s="13">
        <v>186.16973975426481</v>
      </c>
      <c r="H53" s="13">
        <v>225.87598558348961</v>
      </c>
      <c r="I53" s="13">
        <v>265.58223141271452</v>
      </c>
      <c r="J53" s="13">
        <v>305.28847724193969</v>
      </c>
      <c r="K53" s="13">
        <v>344.99472307116457</v>
      </c>
      <c r="L53" s="13">
        <v>384.70096890038991</v>
      </c>
    </row>
    <row r="54" spans="1:12" x14ac:dyDescent="0.2">
      <c r="A54" s="2">
        <v>15</v>
      </c>
      <c r="B54" s="13">
        <v>31.638510608139772</v>
      </c>
      <c r="C54" s="13">
        <v>71.344756437364595</v>
      </c>
      <c r="D54" s="13">
        <v>111.0510022665899</v>
      </c>
      <c r="E54" s="13">
        <v>150.7572480958147</v>
      </c>
      <c r="F54" s="13">
        <v>190.4634939250395</v>
      </c>
      <c r="G54" s="13">
        <v>230.16973975426481</v>
      </c>
      <c r="H54" s="13">
        <v>269.87598558348958</v>
      </c>
      <c r="I54" s="13">
        <v>309.58223141271452</v>
      </c>
      <c r="J54" s="13">
        <v>349.28847724193969</v>
      </c>
      <c r="K54" s="13">
        <v>388.99472307116457</v>
      </c>
      <c r="L54" s="13">
        <v>428.70096890038991</v>
      </c>
    </row>
    <row r="55" spans="1:12" x14ac:dyDescent="0.2">
      <c r="A55" s="2">
        <v>16</v>
      </c>
      <c r="B55" s="13">
        <v>75.638510608139768</v>
      </c>
      <c r="C55" s="13">
        <v>115.34475643736459</v>
      </c>
      <c r="D55" s="13">
        <v>155.0510022665899</v>
      </c>
      <c r="E55" s="13">
        <v>194.7572480958147</v>
      </c>
      <c r="F55" s="13">
        <v>234.4634939250395</v>
      </c>
      <c r="G55" s="13">
        <v>274.16973975426481</v>
      </c>
      <c r="H55" s="13">
        <v>313.87598558348958</v>
      </c>
      <c r="I55" s="13">
        <v>353.58223141271452</v>
      </c>
      <c r="J55" s="13">
        <v>393.28847724193969</v>
      </c>
      <c r="K55" s="13">
        <v>432.99472307116457</v>
      </c>
      <c r="L55" s="13">
        <v>472.70096890038991</v>
      </c>
    </row>
    <row r="56" spans="1:12" x14ac:dyDescent="0.2">
      <c r="A56" s="2">
        <v>17</v>
      </c>
      <c r="B56" s="13">
        <v>119.6385106081398</v>
      </c>
      <c r="C56" s="13">
        <v>159.34475643736459</v>
      </c>
      <c r="D56" s="13">
        <v>199.0510022665899</v>
      </c>
      <c r="E56" s="13">
        <v>238.7572480958147</v>
      </c>
      <c r="F56" s="13">
        <v>278.46349392503947</v>
      </c>
      <c r="G56" s="13">
        <v>318.16973975426481</v>
      </c>
      <c r="H56" s="13">
        <v>357.87598558348958</v>
      </c>
      <c r="I56" s="13">
        <v>397.58223141271452</v>
      </c>
      <c r="J56" s="13">
        <v>437.28847724193969</v>
      </c>
      <c r="K56" s="13">
        <v>476.99472307116457</v>
      </c>
      <c r="L56" s="13">
        <v>516.70096890038985</v>
      </c>
    </row>
    <row r="57" spans="1:12" x14ac:dyDescent="0.2">
      <c r="A57" s="2">
        <v>18</v>
      </c>
      <c r="B57" s="13">
        <v>163.6385106081398</v>
      </c>
      <c r="C57" s="13">
        <v>203.34475643736459</v>
      </c>
      <c r="D57" s="13">
        <v>243.0510022665899</v>
      </c>
      <c r="E57" s="13">
        <v>282.7572480958147</v>
      </c>
      <c r="F57" s="13">
        <v>322.46349392503947</v>
      </c>
      <c r="G57" s="13">
        <v>362.16973975426481</v>
      </c>
      <c r="H57" s="13">
        <v>401.87598558348958</v>
      </c>
      <c r="I57" s="13">
        <v>441.58223141271452</v>
      </c>
      <c r="J57" s="13">
        <v>481.28847724193969</v>
      </c>
      <c r="K57" s="13">
        <v>520.99472307116457</v>
      </c>
      <c r="L57" s="13">
        <v>560.70096890038985</v>
      </c>
    </row>
    <row r="58" spans="1:12" x14ac:dyDescent="0.2">
      <c r="A58" s="2">
        <v>19</v>
      </c>
      <c r="B58" s="13">
        <v>207.6385106081398</v>
      </c>
      <c r="C58" s="13">
        <v>247.34475643736459</v>
      </c>
      <c r="D58" s="13">
        <v>287.05100226658988</v>
      </c>
      <c r="E58" s="13">
        <v>326.7572480958147</v>
      </c>
      <c r="F58" s="13">
        <v>366.46349392503947</v>
      </c>
      <c r="G58" s="13">
        <v>406.16973975426481</v>
      </c>
      <c r="H58" s="13">
        <v>445.87598558348958</v>
      </c>
      <c r="I58" s="13">
        <v>485.58223141271452</v>
      </c>
      <c r="J58" s="13">
        <v>525.28847724193974</v>
      </c>
      <c r="K58" s="13">
        <v>564.99472307116457</v>
      </c>
      <c r="L58" s="13">
        <v>604.70096890038985</v>
      </c>
    </row>
    <row r="59" spans="1:12" x14ac:dyDescent="0.2">
      <c r="A59" s="2">
        <v>20</v>
      </c>
      <c r="B59" s="13">
        <v>251.6385106081398</v>
      </c>
      <c r="C59" s="13">
        <v>291.34475643736459</v>
      </c>
      <c r="D59" s="13">
        <v>331.05100226658988</v>
      </c>
      <c r="E59" s="13">
        <v>370.7572480958147</v>
      </c>
      <c r="F59" s="13">
        <v>410.46349392503947</v>
      </c>
      <c r="G59" s="13">
        <v>450.16973975426481</v>
      </c>
      <c r="H59" s="13">
        <v>489.87598558348958</v>
      </c>
      <c r="I59" s="13">
        <v>529.58223141271446</v>
      </c>
      <c r="J59" s="13">
        <v>569.28847724193974</v>
      </c>
      <c r="K59" s="13">
        <v>608.99472307116457</v>
      </c>
      <c r="L59" s="13">
        <v>648.70096890038985</v>
      </c>
    </row>
    <row r="60" spans="1:12" x14ac:dyDescent="0.2">
      <c r="A60" s="2">
        <v>21</v>
      </c>
      <c r="B60" s="13">
        <v>295.63851060813982</v>
      </c>
      <c r="C60" s="13">
        <v>335.34475643736459</v>
      </c>
      <c r="D60" s="13">
        <v>375.05100226658988</v>
      </c>
      <c r="E60" s="13">
        <v>414.7572480958147</v>
      </c>
      <c r="F60" s="13">
        <v>454.46349392503947</v>
      </c>
      <c r="G60" s="13">
        <v>494.16973975426481</v>
      </c>
      <c r="H60" s="13">
        <v>533.87598558348964</v>
      </c>
      <c r="I60" s="13">
        <v>573.58223141271446</v>
      </c>
      <c r="J60" s="13">
        <v>613.28847724193974</v>
      </c>
      <c r="K60" s="13">
        <v>652.99472307116457</v>
      </c>
      <c r="L60" s="13">
        <v>692.70096890038985</v>
      </c>
    </row>
    <row r="61" spans="1:12" x14ac:dyDescent="0.2">
      <c r="A61" s="2">
        <v>22</v>
      </c>
      <c r="B61" s="13">
        <v>339.63851060813982</v>
      </c>
      <c r="C61" s="13">
        <v>379.34475643736459</v>
      </c>
      <c r="D61" s="13">
        <v>419.05100226658988</v>
      </c>
      <c r="E61" s="13">
        <v>458.7572480958147</v>
      </c>
      <c r="F61" s="13">
        <v>498.46349392503947</v>
      </c>
      <c r="G61" s="13">
        <v>538.16973975426481</v>
      </c>
      <c r="H61" s="13">
        <v>577.87598558348964</v>
      </c>
      <c r="I61" s="13">
        <v>617.58223141271446</v>
      </c>
      <c r="J61" s="13">
        <v>657.28847724193974</v>
      </c>
      <c r="K61" s="13">
        <v>696.99472307116457</v>
      </c>
      <c r="L61" s="13">
        <v>736.70096890038985</v>
      </c>
    </row>
    <row r="62" spans="1:12" x14ac:dyDescent="0.2">
      <c r="A62" s="2">
        <v>23</v>
      </c>
      <c r="B62" s="13">
        <v>383.63851060813982</v>
      </c>
      <c r="C62" s="13">
        <v>423.34475643736459</v>
      </c>
      <c r="D62" s="13">
        <v>463.05100226658988</v>
      </c>
      <c r="E62" s="13">
        <v>502.7572480958147</v>
      </c>
      <c r="F62" s="13">
        <v>542.46349392503953</v>
      </c>
      <c r="G62" s="13">
        <v>582.16973975426481</v>
      </c>
      <c r="H62" s="13">
        <v>621.87598558348964</v>
      </c>
      <c r="I62" s="13">
        <v>661.58223141271446</v>
      </c>
      <c r="J62" s="13">
        <v>701.28847724193974</v>
      </c>
      <c r="K62" s="13">
        <v>740.99472307116457</v>
      </c>
      <c r="L62" s="13">
        <v>780.70096890038985</v>
      </c>
    </row>
    <row r="63" spans="1:12" x14ac:dyDescent="0.2">
      <c r="A63" s="2">
        <v>24</v>
      </c>
      <c r="B63" s="13">
        <v>427.63851060813982</v>
      </c>
      <c r="C63" s="13">
        <v>467.34475643736459</v>
      </c>
      <c r="D63" s="13">
        <v>507.05100226658988</v>
      </c>
      <c r="E63" s="13">
        <v>546.7572480958147</v>
      </c>
      <c r="F63" s="13">
        <v>586.46349392503953</v>
      </c>
      <c r="G63" s="13">
        <v>626.16973975426481</v>
      </c>
      <c r="H63" s="13">
        <v>665.87598558348964</v>
      </c>
      <c r="I63" s="13">
        <v>705.58223141271446</v>
      </c>
      <c r="J63" s="13">
        <v>745.28847724193974</v>
      </c>
      <c r="K63" s="13">
        <v>784.99472307116457</v>
      </c>
      <c r="L63" s="13">
        <v>824.70096890038985</v>
      </c>
    </row>
    <row r="64" spans="1:12" x14ac:dyDescent="0.2">
      <c r="A64" s="2">
        <v>25</v>
      </c>
      <c r="B64" s="13">
        <v>471.63851060813982</v>
      </c>
      <c r="C64" s="13">
        <v>511.34475643736459</v>
      </c>
      <c r="D64" s="13">
        <v>551.05100226658988</v>
      </c>
      <c r="E64" s="13">
        <v>590.7572480958147</v>
      </c>
      <c r="F64" s="13">
        <v>630.46349392503953</v>
      </c>
      <c r="G64" s="13">
        <v>670.16973975426481</v>
      </c>
      <c r="H64" s="13">
        <v>709.87598558348964</v>
      </c>
      <c r="I64" s="13">
        <v>749.58223141271446</v>
      </c>
      <c r="J64" s="13">
        <v>789.28847724193974</v>
      </c>
      <c r="K64" s="13">
        <v>828.99472307116457</v>
      </c>
      <c r="L64" s="13">
        <v>868.70096890038985</v>
      </c>
    </row>
    <row r="65" spans="1:12" x14ac:dyDescent="0.2">
      <c r="A65" s="2">
        <v>26</v>
      </c>
      <c r="B65" s="13">
        <v>515.63851060813977</v>
      </c>
      <c r="C65" s="13">
        <v>555.34475643736459</v>
      </c>
      <c r="D65" s="13">
        <v>595.05100226658988</v>
      </c>
      <c r="E65" s="13">
        <v>634.7572480958147</v>
      </c>
      <c r="F65" s="13">
        <v>674.46349392503953</v>
      </c>
      <c r="G65" s="13">
        <v>714.16973975426481</v>
      </c>
      <c r="H65" s="13">
        <v>753.87598558348964</v>
      </c>
      <c r="I65" s="13">
        <v>793.58223141271446</v>
      </c>
      <c r="J65" s="13">
        <v>833.28847724193974</v>
      </c>
      <c r="K65" s="13">
        <v>872.99472307116457</v>
      </c>
      <c r="L65" s="13">
        <v>912.70096890038997</v>
      </c>
    </row>
    <row r="66" spans="1:12" x14ac:dyDescent="0.2">
      <c r="A66" s="2">
        <v>27</v>
      </c>
      <c r="B66" s="13">
        <v>559.63851060813977</v>
      </c>
      <c r="C66" s="13">
        <v>599.34475643736459</v>
      </c>
      <c r="D66" s="13">
        <v>639.05100226658988</v>
      </c>
      <c r="E66" s="13">
        <v>678.7572480958147</v>
      </c>
      <c r="F66" s="13">
        <v>718.46349392503953</v>
      </c>
      <c r="G66" s="13">
        <v>758.16973975426481</v>
      </c>
      <c r="H66" s="13">
        <v>797.87598558348964</v>
      </c>
      <c r="I66" s="13">
        <v>837.58223141271446</v>
      </c>
      <c r="J66" s="13">
        <v>877.28847724193974</v>
      </c>
      <c r="K66" s="13">
        <v>916.99472307116457</v>
      </c>
      <c r="L66" s="13">
        <v>956.70096890038997</v>
      </c>
    </row>
    <row r="67" spans="1:12" x14ac:dyDescent="0.2">
      <c r="A67" s="2">
        <v>28</v>
      </c>
      <c r="B67" s="13">
        <v>603.63851060813977</v>
      </c>
      <c r="C67" s="13">
        <v>643.34475643736459</v>
      </c>
      <c r="D67" s="13">
        <v>683.05100226658988</v>
      </c>
      <c r="E67" s="13">
        <v>722.7572480958147</v>
      </c>
      <c r="F67" s="13">
        <v>762.46349392503953</v>
      </c>
      <c r="G67" s="13">
        <v>802.16973975426481</v>
      </c>
      <c r="H67" s="13">
        <v>841.87598558348964</v>
      </c>
      <c r="I67" s="13">
        <v>881.58223141271446</v>
      </c>
      <c r="J67" s="13">
        <v>921.28847724193963</v>
      </c>
      <c r="K67" s="13">
        <v>960.99472307116457</v>
      </c>
      <c r="L67" s="13">
        <v>1000.70096890039</v>
      </c>
    </row>
    <row r="68" spans="1:12" x14ac:dyDescent="0.2">
      <c r="A68" s="2">
        <v>29</v>
      </c>
      <c r="B68" s="13">
        <v>647.63851060813977</v>
      </c>
      <c r="C68" s="13">
        <v>687.34475643736459</v>
      </c>
      <c r="D68" s="13">
        <v>727.05100226658988</v>
      </c>
      <c r="E68" s="13">
        <v>766.7572480958147</v>
      </c>
      <c r="F68" s="13">
        <v>806.46349392503953</v>
      </c>
      <c r="G68" s="13">
        <v>846.16973975426481</v>
      </c>
      <c r="H68" s="13">
        <v>885.87598558348964</v>
      </c>
      <c r="I68" s="13">
        <v>925.58223141271435</v>
      </c>
      <c r="J68" s="13">
        <v>965.28847724193963</v>
      </c>
      <c r="K68" s="13">
        <v>1004.994723071165</v>
      </c>
      <c r="L68" s="13">
        <v>1044.7009689003901</v>
      </c>
    </row>
    <row r="69" spans="1:12" x14ac:dyDescent="0.2">
      <c r="A69" s="2">
        <v>30</v>
      </c>
      <c r="B69" s="13">
        <v>691.63851060813977</v>
      </c>
      <c r="C69" s="13">
        <v>731.34475643736459</v>
      </c>
      <c r="D69" s="13">
        <v>771.05100226658988</v>
      </c>
      <c r="E69" s="13">
        <v>810.7572480958147</v>
      </c>
      <c r="F69" s="13">
        <v>850.46349392503953</v>
      </c>
      <c r="G69" s="13">
        <v>890.16973975426481</v>
      </c>
      <c r="H69" s="13">
        <v>929.87598558348964</v>
      </c>
      <c r="I69" s="13">
        <v>969.58223141271435</v>
      </c>
      <c r="J69" s="13">
        <v>1009.28847724194</v>
      </c>
      <c r="K69" s="13">
        <v>1048.994723071165</v>
      </c>
      <c r="L69" s="13">
        <v>1088.7009689003901</v>
      </c>
    </row>
    <row r="70" spans="1:12" x14ac:dyDescent="0.2">
      <c r="A70" s="2">
        <v>31</v>
      </c>
      <c r="B70" s="13">
        <v>735.63851060813977</v>
      </c>
      <c r="C70" s="13">
        <v>775.34475643736459</v>
      </c>
      <c r="D70" s="13">
        <v>815.05100226658988</v>
      </c>
      <c r="E70" s="13">
        <v>854.7572480958147</v>
      </c>
      <c r="F70" s="13">
        <v>894.46349392503953</v>
      </c>
      <c r="G70" s="13">
        <v>934.16973975426481</v>
      </c>
      <c r="H70" s="13">
        <v>973.87598558348964</v>
      </c>
      <c r="I70" s="13">
        <v>1013.582231412714</v>
      </c>
      <c r="J70" s="13">
        <v>1053.28847724194</v>
      </c>
      <c r="K70" s="13">
        <v>1092.994723071165</v>
      </c>
      <c r="L70" s="13">
        <v>1132.7009689003901</v>
      </c>
    </row>
    <row r="71" spans="1:12" x14ac:dyDescent="0.2">
      <c r="A71" s="2">
        <v>32</v>
      </c>
      <c r="B71" s="13">
        <v>779.63851060813977</v>
      </c>
      <c r="C71" s="13">
        <v>819.34475643736459</v>
      </c>
      <c r="D71" s="13">
        <v>859.05100226658988</v>
      </c>
      <c r="E71" s="13">
        <v>898.7572480958147</v>
      </c>
      <c r="F71" s="13">
        <v>938.46349392503964</v>
      </c>
      <c r="G71" s="13">
        <v>978.16973975426481</v>
      </c>
      <c r="H71" s="13">
        <v>1017.87598558349</v>
      </c>
      <c r="I71" s="13">
        <v>1057.582231412714</v>
      </c>
      <c r="J71" s="13">
        <v>1097.28847724194</v>
      </c>
      <c r="K71" s="13">
        <v>1136.994723071165</v>
      </c>
      <c r="L71" s="13">
        <v>1176.7009689003901</v>
      </c>
    </row>
    <row r="72" spans="1:12" x14ac:dyDescent="0.2">
      <c r="A72" s="2">
        <v>33</v>
      </c>
      <c r="B72" s="13">
        <v>823.63851060813977</v>
      </c>
      <c r="C72" s="13">
        <v>863.34475643736459</v>
      </c>
      <c r="D72" s="13">
        <v>903.05100226658999</v>
      </c>
      <c r="E72" s="13">
        <v>942.75724809581482</v>
      </c>
      <c r="F72" s="13">
        <v>982.46349392503964</v>
      </c>
      <c r="G72" s="13">
        <v>1022.169739754265</v>
      </c>
      <c r="H72" s="13">
        <v>1061.8759855834901</v>
      </c>
      <c r="I72" s="13">
        <v>1101.582231412714</v>
      </c>
      <c r="J72" s="13">
        <v>1141.28847724194</v>
      </c>
      <c r="K72" s="13">
        <v>1180.994723071165</v>
      </c>
      <c r="L72" s="13">
        <v>1220.7009689003901</v>
      </c>
    </row>
    <row r="73" spans="1:12" x14ac:dyDescent="0.2">
      <c r="A73" s="2">
        <v>34</v>
      </c>
      <c r="B73" s="13">
        <v>867.63851060813977</v>
      </c>
      <c r="C73" s="13">
        <v>907.34475643736459</v>
      </c>
      <c r="D73" s="13">
        <v>947.05100226658999</v>
      </c>
      <c r="E73" s="13">
        <v>986.75724809581482</v>
      </c>
      <c r="F73" s="13">
        <v>1026.46349392504</v>
      </c>
      <c r="G73" s="13">
        <v>1066.169739754265</v>
      </c>
      <c r="H73" s="13">
        <v>1105.8759855834901</v>
      </c>
      <c r="I73" s="13">
        <v>1145.582231412714</v>
      </c>
      <c r="J73" s="13">
        <v>1185.28847724194</v>
      </c>
      <c r="K73" s="13">
        <v>1224.994723071165</v>
      </c>
      <c r="L73" s="13">
        <v>1264.7009689003901</v>
      </c>
    </row>
    <row r="74" spans="1:12" x14ac:dyDescent="0.2">
      <c r="A74" s="2">
        <v>35</v>
      </c>
      <c r="B74" s="13">
        <v>911.63851060813977</v>
      </c>
      <c r="C74" s="13">
        <v>951.34475643736459</v>
      </c>
      <c r="D74" s="13">
        <v>991.05100226658999</v>
      </c>
      <c r="E74" s="13">
        <v>1030.7572480958149</v>
      </c>
      <c r="F74" s="13">
        <v>1070.46349392504</v>
      </c>
      <c r="G74" s="13">
        <v>1110.169739754265</v>
      </c>
      <c r="H74" s="13">
        <v>1149.8759855834901</v>
      </c>
      <c r="I74" s="13">
        <v>1189.582231412714</v>
      </c>
      <c r="J74" s="13">
        <v>1229.28847724194</v>
      </c>
      <c r="K74" s="13">
        <v>1268.994723071165</v>
      </c>
      <c r="L74" s="13">
        <v>1308.7009689003901</v>
      </c>
    </row>
    <row r="75" spans="1:12" x14ac:dyDescent="0.2">
      <c r="A75" s="2">
        <v>36</v>
      </c>
      <c r="B75" s="13">
        <v>955.63851060813977</v>
      </c>
      <c r="C75" s="13">
        <v>995.34475643736459</v>
      </c>
      <c r="D75" s="13">
        <v>1035.0510022665901</v>
      </c>
      <c r="E75" s="13">
        <v>1074.7572480958149</v>
      </c>
      <c r="F75" s="13">
        <v>1114.46349392504</v>
      </c>
      <c r="G75" s="13">
        <v>1154.169739754265</v>
      </c>
      <c r="H75" s="13">
        <v>1193.8759855834901</v>
      </c>
      <c r="I75" s="13">
        <v>1233.582231412714</v>
      </c>
      <c r="J75" s="13">
        <v>1273.28847724194</v>
      </c>
      <c r="K75" s="13">
        <v>1312.994723071165</v>
      </c>
      <c r="L75" s="13">
        <v>1352.7009689003901</v>
      </c>
    </row>
    <row r="76" spans="1:12" x14ac:dyDescent="0.2">
      <c r="A76" s="2">
        <v>37</v>
      </c>
      <c r="B76" s="13">
        <v>999.63851060813977</v>
      </c>
      <c r="C76" s="13">
        <v>1039.344756437365</v>
      </c>
      <c r="D76" s="13">
        <v>1079.0510022665901</v>
      </c>
      <c r="E76" s="13">
        <v>1118.7572480958149</v>
      </c>
      <c r="F76" s="13">
        <v>1158.46349392504</v>
      </c>
      <c r="G76" s="13">
        <v>1198.169739754265</v>
      </c>
      <c r="H76" s="13">
        <v>1237.8759855834901</v>
      </c>
      <c r="I76" s="13">
        <v>1277.582231412714</v>
      </c>
      <c r="J76" s="13">
        <v>1317.28847724194</v>
      </c>
      <c r="K76" s="13">
        <v>1356.994723071165</v>
      </c>
      <c r="L76" s="13">
        <v>1396.7009689003901</v>
      </c>
    </row>
    <row r="77" spans="1:12" x14ac:dyDescent="0.2">
      <c r="A77" s="2">
        <v>38</v>
      </c>
      <c r="B77" s="13">
        <v>1043.63851060814</v>
      </c>
      <c r="C77" s="13">
        <v>1083.344756437365</v>
      </c>
      <c r="D77" s="13">
        <v>1123.0510022665901</v>
      </c>
      <c r="E77" s="13">
        <v>1162.7572480958149</v>
      </c>
      <c r="F77" s="13">
        <v>1202.46349392504</v>
      </c>
      <c r="G77" s="13">
        <v>1242.169739754265</v>
      </c>
      <c r="H77" s="13">
        <v>1281.8759855834901</v>
      </c>
      <c r="I77" s="13">
        <v>1321.582231412714</v>
      </c>
      <c r="J77" s="13">
        <v>1361.28847724194</v>
      </c>
      <c r="K77" s="13">
        <v>1400.994723071165</v>
      </c>
      <c r="L77" s="13">
        <v>1440.7009689003901</v>
      </c>
    </row>
    <row r="78" spans="1:12" x14ac:dyDescent="0.2">
      <c r="A78" s="2">
        <v>39</v>
      </c>
      <c r="B78" s="13">
        <v>1087.63851060814</v>
      </c>
      <c r="C78" s="13">
        <v>1127.344756437365</v>
      </c>
      <c r="D78" s="13">
        <v>1167.0510022665901</v>
      </c>
      <c r="E78" s="13">
        <v>1206.7572480958149</v>
      </c>
      <c r="F78" s="13">
        <v>1246.46349392504</v>
      </c>
      <c r="G78" s="13">
        <v>1286.169739754265</v>
      </c>
      <c r="H78" s="13">
        <v>1325.8759855834901</v>
      </c>
      <c r="I78" s="13">
        <v>1365.582231412714</v>
      </c>
      <c r="J78" s="13">
        <v>1405.28847724194</v>
      </c>
      <c r="K78" s="13">
        <v>1444.994723071165</v>
      </c>
      <c r="L78" s="13">
        <v>1484.7009689003901</v>
      </c>
    </row>
    <row r="79" spans="1:12" x14ac:dyDescent="0.2">
      <c r="A79" s="2">
        <v>40</v>
      </c>
      <c r="B79" s="13">
        <v>1131.63851060814</v>
      </c>
      <c r="C79" s="13">
        <v>1171.344756437365</v>
      </c>
      <c r="D79" s="13">
        <v>1211.0510022665901</v>
      </c>
      <c r="E79" s="13">
        <v>1250.7572480958149</v>
      </c>
      <c r="F79" s="13">
        <v>1290.46349392504</v>
      </c>
      <c r="G79" s="13">
        <v>1330.169739754265</v>
      </c>
      <c r="H79" s="13">
        <v>1369.8759855834901</v>
      </c>
      <c r="I79" s="13">
        <v>1409.582231412714</v>
      </c>
      <c r="J79" s="13">
        <v>1449.28847724194</v>
      </c>
      <c r="K79" s="13">
        <v>1488.994723071165</v>
      </c>
      <c r="L79" s="13">
        <v>1528.7009689003901</v>
      </c>
    </row>
    <row r="80" spans="1:12" x14ac:dyDescent="0.2">
      <c r="A80" s="2">
        <v>41</v>
      </c>
      <c r="B80" s="13">
        <v>1175.63851060814</v>
      </c>
      <c r="C80" s="13">
        <v>1215.344756437365</v>
      </c>
      <c r="D80" s="13">
        <v>1255.0510022665901</v>
      </c>
      <c r="E80" s="13">
        <v>1294.7572480958149</v>
      </c>
      <c r="F80" s="13">
        <v>1334.46349392504</v>
      </c>
      <c r="G80" s="13">
        <v>1374.169739754265</v>
      </c>
      <c r="H80" s="13">
        <v>1413.8759855834901</v>
      </c>
      <c r="I80" s="13">
        <v>1453.582231412714</v>
      </c>
      <c r="J80" s="13">
        <v>1493.28847724194</v>
      </c>
      <c r="K80" s="13">
        <v>1532.994723071165</v>
      </c>
      <c r="L80" s="13">
        <v>1572.7009689003901</v>
      </c>
    </row>
    <row r="81" spans="1:12" x14ac:dyDescent="0.2">
      <c r="A81" s="2">
        <v>42</v>
      </c>
      <c r="B81" s="13">
        <v>1219.63851060814</v>
      </c>
      <c r="C81" s="13">
        <v>1259.344756437365</v>
      </c>
      <c r="D81" s="13">
        <v>1299.0510022665901</v>
      </c>
      <c r="E81" s="13">
        <v>1338.7572480958149</v>
      </c>
      <c r="F81" s="13">
        <v>1378.46349392504</v>
      </c>
      <c r="G81" s="13">
        <v>1418.169739754265</v>
      </c>
      <c r="H81" s="13">
        <v>1457.8759855834901</v>
      </c>
      <c r="I81" s="13">
        <v>1497.582231412714</v>
      </c>
      <c r="J81" s="13">
        <v>1537.28847724194</v>
      </c>
      <c r="K81" s="13">
        <v>1576.994723071165</v>
      </c>
      <c r="L81" s="13">
        <v>1616.7009689003901</v>
      </c>
    </row>
    <row r="82" spans="1:12" x14ac:dyDescent="0.2">
      <c r="A82" s="2">
        <v>43</v>
      </c>
      <c r="B82" s="13">
        <v>1263.63851060814</v>
      </c>
      <c r="C82" s="13">
        <v>1303.344756437365</v>
      </c>
      <c r="D82" s="13">
        <v>1343.0510022665901</v>
      </c>
      <c r="E82" s="13">
        <v>1382.7572480958149</v>
      </c>
      <c r="F82" s="13">
        <v>1422.46349392504</v>
      </c>
      <c r="G82" s="13">
        <v>1462.169739754265</v>
      </c>
      <c r="H82" s="13">
        <v>1501.8759855834901</v>
      </c>
      <c r="I82" s="13">
        <v>1541.582231412714</v>
      </c>
      <c r="J82" s="13">
        <v>1581.28847724194</v>
      </c>
      <c r="K82" s="13">
        <v>1620.994723071165</v>
      </c>
      <c r="L82" s="13">
        <v>1660.7009689003901</v>
      </c>
    </row>
    <row r="83" spans="1:12" x14ac:dyDescent="0.2">
      <c r="A83" s="2">
        <v>44</v>
      </c>
      <c r="B83" s="13">
        <v>1307.63851060814</v>
      </c>
      <c r="C83" s="13">
        <v>1347.344756437365</v>
      </c>
      <c r="D83" s="13">
        <v>1387.0510022665901</v>
      </c>
      <c r="E83" s="13">
        <v>1426.7572480958149</v>
      </c>
      <c r="F83" s="13">
        <v>1466.46349392504</v>
      </c>
      <c r="G83" s="13">
        <v>1506.169739754265</v>
      </c>
      <c r="H83" s="13">
        <v>1545.8759855834901</v>
      </c>
      <c r="I83" s="13">
        <v>1585.582231412714</v>
      </c>
      <c r="J83" s="13">
        <v>1625.28847724194</v>
      </c>
      <c r="K83" s="13">
        <v>1664.994723071165</v>
      </c>
      <c r="L83" s="13">
        <v>1704.7009689003901</v>
      </c>
    </row>
    <row r="84" spans="1:12" x14ac:dyDescent="0.2">
      <c r="A84" s="2">
        <v>45</v>
      </c>
      <c r="B84" s="13">
        <v>1351.63851060814</v>
      </c>
      <c r="C84" s="13">
        <v>1391.344756437365</v>
      </c>
      <c r="D84" s="13">
        <v>1431.0510022665901</v>
      </c>
      <c r="E84" s="13">
        <v>1470.7572480958149</v>
      </c>
      <c r="F84" s="13">
        <v>1510.46349392504</v>
      </c>
      <c r="G84" s="13">
        <v>1550.169739754265</v>
      </c>
      <c r="H84" s="13">
        <v>1589.8759855834901</v>
      </c>
      <c r="I84" s="13">
        <v>1629.582231412714</v>
      </c>
      <c r="J84" s="13">
        <v>1669.28847724194</v>
      </c>
      <c r="K84" s="13">
        <v>1708.994723071165</v>
      </c>
      <c r="L84" s="13">
        <v>1748.7009689003901</v>
      </c>
    </row>
    <row r="85" spans="1:12" x14ac:dyDescent="0.2">
      <c r="A85" s="2">
        <v>46</v>
      </c>
      <c r="B85" s="13">
        <v>1395.63851060814</v>
      </c>
      <c r="C85" s="13">
        <v>1435.344756437365</v>
      </c>
      <c r="D85" s="13">
        <v>1475.0510022665901</v>
      </c>
      <c r="E85" s="13">
        <v>1514.7572480958149</v>
      </c>
      <c r="F85" s="13">
        <v>1554.46349392504</v>
      </c>
      <c r="G85" s="13">
        <v>1594.169739754265</v>
      </c>
      <c r="H85" s="13">
        <v>1633.8759855834901</v>
      </c>
      <c r="I85" s="13">
        <v>1673.582231412714</v>
      </c>
      <c r="J85" s="13">
        <v>1713.28847724194</v>
      </c>
      <c r="K85" s="13">
        <v>1752.994723071165</v>
      </c>
      <c r="L85" s="13">
        <v>1792.7009689003901</v>
      </c>
    </row>
    <row r="86" spans="1:12" x14ac:dyDescent="0.2">
      <c r="A86" s="2">
        <v>47</v>
      </c>
      <c r="B86" s="13">
        <v>1439.63851060814</v>
      </c>
      <c r="C86" s="13">
        <v>1479.344756437365</v>
      </c>
      <c r="D86" s="13">
        <v>1519.0510022665901</v>
      </c>
      <c r="E86" s="13">
        <v>1558.7572480958149</v>
      </c>
      <c r="F86" s="13">
        <v>1598.46349392504</v>
      </c>
      <c r="G86" s="13">
        <v>1638.169739754265</v>
      </c>
      <c r="H86" s="13">
        <v>1677.8759855834901</v>
      </c>
      <c r="I86" s="13">
        <v>1717.582231412714</v>
      </c>
      <c r="J86" s="13">
        <v>1757.28847724194</v>
      </c>
      <c r="K86" s="13">
        <v>1796.994723071165</v>
      </c>
      <c r="L86" s="13">
        <v>1836.7009689003901</v>
      </c>
    </row>
    <row r="87" spans="1:12" x14ac:dyDescent="0.2">
      <c r="A87" s="2">
        <v>48</v>
      </c>
      <c r="B87" s="13">
        <v>1483.63851060814</v>
      </c>
      <c r="C87" s="13">
        <v>1523.344756437365</v>
      </c>
      <c r="D87" s="13">
        <v>1563.0510022665901</v>
      </c>
      <c r="E87" s="13">
        <v>1602.7572480958149</v>
      </c>
      <c r="F87" s="13">
        <v>1642.46349392504</v>
      </c>
      <c r="G87" s="13">
        <v>1682.169739754265</v>
      </c>
      <c r="H87" s="13">
        <v>1721.8759855834901</v>
      </c>
      <c r="I87" s="13">
        <v>1761.582231412714</v>
      </c>
      <c r="J87" s="13">
        <v>1801.28847724194</v>
      </c>
      <c r="K87" s="13">
        <v>1840.994723071165</v>
      </c>
      <c r="L87" s="13">
        <v>1880.7009689003901</v>
      </c>
    </row>
    <row r="88" spans="1:12" x14ac:dyDescent="0.2">
      <c r="A88" s="2">
        <v>49</v>
      </c>
      <c r="B88" s="13">
        <v>1527.63851060814</v>
      </c>
      <c r="C88" s="13">
        <v>1567.344756437365</v>
      </c>
      <c r="D88" s="13">
        <v>1607.0510022665901</v>
      </c>
      <c r="E88" s="13">
        <v>1646.7572480958149</v>
      </c>
      <c r="F88" s="13">
        <v>1686.46349392504</v>
      </c>
      <c r="G88" s="13">
        <v>1726.169739754265</v>
      </c>
      <c r="H88" s="13">
        <v>1765.8759855834901</v>
      </c>
      <c r="I88" s="13">
        <v>1805.582231412714</v>
      </c>
      <c r="J88" s="13">
        <v>1845.28847724194</v>
      </c>
      <c r="K88" s="13">
        <v>1884.994723071165</v>
      </c>
      <c r="L88" s="13">
        <v>1924.7009689003901</v>
      </c>
    </row>
    <row r="89" spans="1:12" x14ac:dyDescent="0.2">
      <c r="A89" s="2">
        <v>50</v>
      </c>
      <c r="B89" s="13">
        <v>1571.63851060814</v>
      </c>
      <c r="C89" s="13">
        <v>1611.344756437365</v>
      </c>
      <c r="D89" s="13">
        <v>1651.0510022665901</v>
      </c>
      <c r="E89" s="13">
        <v>1690.7572480958149</v>
      </c>
      <c r="F89" s="13">
        <v>1730.46349392504</v>
      </c>
      <c r="G89" s="13">
        <v>1770.169739754265</v>
      </c>
      <c r="H89" s="13">
        <v>1809.8759855834901</v>
      </c>
      <c r="I89" s="13">
        <v>1849.582231412714</v>
      </c>
      <c r="J89" s="13">
        <v>1889.28847724194</v>
      </c>
      <c r="K89" s="13">
        <v>1928.994723071165</v>
      </c>
      <c r="L89" s="13">
        <v>1968.7009689003901</v>
      </c>
    </row>
    <row r="90" spans="1:12" x14ac:dyDescent="0.2">
      <c r="A90" s="2">
        <v>51</v>
      </c>
      <c r="B90" s="13">
        <v>1615.63851060814</v>
      </c>
      <c r="C90" s="13">
        <v>1655.344756437365</v>
      </c>
      <c r="D90" s="13">
        <v>1695.0510022665901</v>
      </c>
      <c r="E90" s="13">
        <v>1734.7572480958149</v>
      </c>
      <c r="F90" s="13">
        <v>1774.46349392504</v>
      </c>
      <c r="G90" s="13">
        <v>1814.169739754265</v>
      </c>
      <c r="H90" s="13">
        <v>1853.8759855834901</v>
      </c>
      <c r="I90" s="13">
        <v>1893.582231412714</v>
      </c>
      <c r="J90" s="13">
        <v>1933.28847724194</v>
      </c>
      <c r="K90" s="13">
        <v>1972.994723071165</v>
      </c>
      <c r="L90" s="13">
        <v>2012.7009689003901</v>
      </c>
    </row>
    <row r="91" spans="1:12" x14ac:dyDescent="0.2">
      <c r="A91" s="2">
        <v>52</v>
      </c>
      <c r="B91" s="13">
        <v>1659.63851060814</v>
      </c>
      <c r="C91" s="13">
        <v>1699.344756437365</v>
      </c>
      <c r="D91" s="13">
        <v>1739.0510022665901</v>
      </c>
      <c r="E91" s="13">
        <v>1778.7572480958149</v>
      </c>
      <c r="F91" s="13">
        <v>1818.46349392504</v>
      </c>
      <c r="G91" s="13">
        <v>1858.169739754265</v>
      </c>
      <c r="H91" s="13">
        <v>1897.8759855834901</v>
      </c>
      <c r="I91" s="13">
        <v>1937.582231412714</v>
      </c>
      <c r="J91" s="13">
        <v>1977.28847724194</v>
      </c>
      <c r="K91" s="13">
        <v>2016.994723071165</v>
      </c>
      <c r="L91" s="13">
        <v>2056.7009689003899</v>
      </c>
    </row>
    <row r="92" spans="1:12" x14ac:dyDescent="0.2">
      <c r="A92" s="2">
        <v>53</v>
      </c>
      <c r="B92" s="13">
        <v>1703.63851060814</v>
      </c>
      <c r="C92" s="13">
        <v>1743.344756437365</v>
      </c>
      <c r="D92" s="13">
        <v>1783.0510022665901</v>
      </c>
      <c r="E92" s="13">
        <v>1822.7572480958149</v>
      </c>
      <c r="F92" s="13">
        <v>1862.46349392504</v>
      </c>
      <c r="G92" s="13">
        <v>1902.169739754265</v>
      </c>
      <c r="H92" s="13">
        <v>1941.8759855834901</v>
      </c>
      <c r="I92" s="13">
        <v>1981.582231412714</v>
      </c>
      <c r="J92" s="13">
        <v>2021.28847724194</v>
      </c>
      <c r="K92" s="13">
        <v>2060.994723071165</v>
      </c>
      <c r="L92" s="13">
        <v>2100.7009689003899</v>
      </c>
    </row>
    <row r="93" spans="1:12" x14ac:dyDescent="0.2">
      <c r="A93" s="2">
        <v>54</v>
      </c>
      <c r="B93" s="13">
        <v>1747.63851060814</v>
      </c>
      <c r="C93" s="13">
        <v>1787.344756437365</v>
      </c>
      <c r="D93" s="13">
        <v>1827.0510022665901</v>
      </c>
      <c r="E93" s="13">
        <v>1866.7572480958149</v>
      </c>
      <c r="F93" s="13">
        <v>1906.46349392504</v>
      </c>
      <c r="G93" s="13">
        <v>1946.169739754265</v>
      </c>
      <c r="H93" s="13">
        <v>1985.8759855834901</v>
      </c>
      <c r="I93" s="13">
        <v>2025.582231412714</v>
      </c>
      <c r="J93" s="13">
        <v>2065.2884772419402</v>
      </c>
      <c r="K93" s="13">
        <v>2104.994723071165</v>
      </c>
      <c r="L93" s="13">
        <v>2144.7009689003899</v>
      </c>
    </row>
    <row r="94" spans="1:12" x14ac:dyDescent="0.2">
      <c r="A94" s="2">
        <v>55</v>
      </c>
      <c r="B94" s="13">
        <v>1791.63851060814</v>
      </c>
      <c r="C94" s="13">
        <v>1831.344756437365</v>
      </c>
      <c r="D94" s="13">
        <v>1871.0510022665901</v>
      </c>
      <c r="E94" s="13">
        <v>1910.7572480958149</v>
      </c>
      <c r="F94" s="13">
        <v>1950.46349392504</v>
      </c>
      <c r="G94" s="13">
        <v>1990.169739754265</v>
      </c>
      <c r="H94" s="13">
        <v>2029.8759855834901</v>
      </c>
      <c r="I94" s="13">
        <v>2069.582231412714</v>
      </c>
      <c r="J94" s="13">
        <v>2109.2884772419402</v>
      </c>
      <c r="K94" s="13">
        <v>2148.994723071165</v>
      </c>
      <c r="L94" s="13">
        <v>2188.7009689003899</v>
      </c>
    </row>
    <row r="95" spans="1:12" x14ac:dyDescent="0.2">
      <c r="A95" s="2">
        <v>56</v>
      </c>
      <c r="B95" s="13">
        <v>1835.63851060814</v>
      </c>
      <c r="C95" s="13">
        <v>1875.344756437365</v>
      </c>
      <c r="D95" s="13">
        <v>1915.0510022665901</v>
      </c>
      <c r="E95" s="13">
        <v>1954.7572480958149</v>
      </c>
      <c r="F95" s="13">
        <v>1994.46349392504</v>
      </c>
      <c r="G95" s="13">
        <v>2034.169739754265</v>
      </c>
      <c r="H95" s="13">
        <v>2073.8759855834901</v>
      </c>
      <c r="I95" s="13">
        <v>2113.582231412714</v>
      </c>
      <c r="J95" s="13">
        <v>2153.2884772419402</v>
      </c>
      <c r="K95" s="13">
        <v>2192.994723071165</v>
      </c>
      <c r="L95" s="13">
        <v>2232.7009689003899</v>
      </c>
    </row>
    <row r="96" spans="1:12" x14ac:dyDescent="0.2">
      <c r="A96" s="2">
        <v>57</v>
      </c>
      <c r="B96" s="13">
        <v>1879.63851060814</v>
      </c>
      <c r="C96" s="13">
        <v>1919.344756437365</v>
      </c>
      <c r="D96" s="13">
        <v>1959.0510022665901</v>
      </c>
      <c r="E96" s="13">
        <v>1998.7572480958149</v>
      </c>
      <c r="F96" s="13">
        <v>2038.46349392504</v>
      </c>
      <c r="G96" s="13">
        <v>2078.1697397542648</v>
      </c>
      <c r="H96" s="13">
        <v>2117.8759855834901</v>
      </c>
      <c r="I96" s="13">
        <v>2157.582231412714</v>
      </c>
      <c r="J96" s="13">
        <v>2197.2884772419402</v>
      </c>
      <c r="K96" s="13">
        <v>2236.994723071165</v>
      </c>
      <c r="L96" s="13">
        <v>2276.7009689003899</v>
      </c>
    </row>
    <row r="97" spans="1:13" x14ac:dyDescent="0.2">
      <c r="A97" s="2">
        <v>58</v>
      </c>
      <c r="B97" s="13">
        <v>1923.63851060814</v>
      </c>
      <c r="C97" s="13">
        <v>1963.344756437365</v>
      </c>
      <c r="D97" s="13">
        <v>2003.0510022665901</v>
      </c>
      <c r="E97" s="13">
        <v>2042.7572480958149</v>
      </c>
      <c r="F97" s="13">
        <v>2082.46349392504</v>
      </c>
      <c r="G97" s="13">
        <v>2122.1697397542648</v>
      </c>
      <c r="H97" s="13">
        <v>2161.8759855834901</v>
      </c>
      <c r="I97" s="13">
        <v>2201.582231412714</v>
      </c>
      <c r="J97" s="13">
        <v>2241.2884772419402</v>
      </c>
      <c r="K97" s="13">
        <v>2280.994723071165</v>
      </c>
      <c r="L97" s="13">
        <v>2320.7009689003899</v>
      </c>
    </row>
    <row r="98" spans="1:13" x14ac:dyDescent="0.2">
      <c r="A98" s="2">
        <v>59</v>
      </c>
      <c r="B98" s="13">
        <v>1967.63851060814</v>
      </c>
      <c r="C98" s="13">
        <v>2007.344756437365</v>
      </c>
      <c r="D98" s="13">
        <v>2047.0510022665901</v>
      </c>
      <c r="E98" s="13">
        <v>2086.7572480958152</v>
      </c>
      <c r="F98" s="13">
        <v>2126.46349392504</v>
      </c>
      <c r="G98" s="13">
        <v>2166.1697397542648</v>
      </c>
      <c r="H98" s="13">
        <v>2205.8759855834901</v>
      </c>
      <c r="I98" s="13">
        <v>2245.582231412714</v>
      </c>
      <c r="J98" s="13">
        <v>2285.2884772419402</v>
      </c>
      <c r="K98" s="13">
        <v>2324.994723071165</v>
      </c>
      <c r="L98" s="13">
        <v>2364.7009689003899</v>
      </c>
    </row>
    <row r="99" spans="1:13" x14ac:dyDescent="0.2">
      <c r="A99" s="2">
        <v>60</v>
      </c>
      <c r="B99" s="13">
        <v>2011.63851060814</v>
      </c>
      <c r="C99" s="13">
        <v>2051.344756437365</v>
      </c>
      <c r="D99" s="13">
        <v>2091.0510022665899</v>
      </c>
      <c r="E99" s="13">
        <v>2130.7572480958152</v>
      </c>
      <c r="F99" s="13">
        <v>2170.46349392504</v>
      </c>
      <c r="G99" s="13">
        <v>2210.1697397542648</v>
      </c>
      <c r="H99" s="13">
        <v>2249.8759855834901</v>
      </c>
      <c r="I99" s="13">
        <v>2289.582231412714</v>
      </c>
      <c r="J99" s="13">
        <v>2329.2884772419402</v>
      </c>
      <c r="K99" s="13">
        <v>2368.994723071165</v>
      </c>
      <c r="L99" s="13">
        <v>2408.7009689003899</v>
      </c>
    </row>
    <row r="100" spans="1:13" x14ac:dyDescent="0.2">
      <c r="A100" s="2">
        <v>61</v>
      </c>
      <c r="B100" s="13">
        <v>2055.6385106081402</v>
      </c>
      <c r="C100" s="13">
        <v>2095.344756437365</v>
      </c>
      <c r="D100" s="13">
        <v>2135.0510022665899</v>
      </c>
      <c r="E100" s="13">
        <v>2174.7572480958152</v>
      </c>
      <c r="F100" s="13">
        <v>2214.46349392504</v>
      </c>
      <c r="G100" s="13">
        <v>2254.1697397542648</v>
      </c>
      <c r="H100" s="13">
        <v>2293.8759855834901</v>
      </c>
      <c r="I100" s="13">
        <v>2333.582231412714</v>
      </c>
      <c r="J100" s="13">
        <v>2373.2884772419402</v>
      </c>
      <c r="K100" s="13">
        <v>2412.994723071165</v>
      </c>
      <c r="L100" s="13">
        <v>2452.7009689003899</v>
      </c>
    </row>
    <row r="101" spans="1:13" x14ac:dyDescent="0.2">
      <c r="A101" s="2">
        <v>62</v>
      </c>
      <c r="B101" s="13">
        <v>2099.6385106081402</v>
      </c>
      <c r="C101" s="13">
        <v>2139.344756437365</v>
      </c>
      <c r="D101" s="13">
        <v>2179.0510022665899</v>
      </c>
      <c r="E101" s="13">
        <v>2218.7572480958152</v>
      </c>
      <c r="F101" s="13">
        <v>2258.46349392504</v>
      </c>
      <c r="G101" s="13">
        <v>2298.1697397542648</v>
      </c>
      <c r="H101" s="13">
        <v>2337.8759855834901</v>
      </c>
      <c r="I101" s="13">
        <v>2377.582231412714</v>
      </c>
      <c r="J101" s="13">
        <v>2417.2884772419402</v>
      </c>
      <c r="K101" s="13">
        <v>2456.994723071165</v>
      </c>
      <c r="L101" s="13">
        <v>2496.7009689003899</v>
      </c>
    </row>
    <row r="102" spans="1:13" x14ac:dyDescent="0.2">
      <c r="A102" s="2">
        <v>63</v>
      </c>
      <c r="B102" s="13">
        <v>2143.6385106081402</v>
      </c>
      <c r="C102" s="13">
        <v>2183.344756437365</v>
      </c>
      <c r="D102" s="13">
        <v>2223.0510022665899</v>
      </c>
      <c r="E102" s="13">
        <v>2262.7572480958152</v>
      </c>
      <c r="F102" s="13">
        <v>2302.46349392504</v>
      </c>
      <c r="G102" s="13">
        <v>2342.1697397542648</v>
      </c>
      <c r="H102" s="13">
        <v>2381.8759855834901</v>
      </c>
      <c r="I102" s="13">
        <v>2421.582231412714</v>
      </c>
      <c r="J102" s="13">
        <v>2461.2884772419402</v>
      </c>
      <c r="K102" s="13">
        <v>2500.994723071165</v>
      </c>
      <c r="L102" s="13">
        <v>2540.7009689003899</v>
      </c>
    </row>
    <row r="105" spans="1:13" x14ac:dyDescent="0.2">
      <c r="A105" s="20" t="s">
        <v>133</v>
      </c>
      <c r="B105" s="20"/>
      <c r="C105" s="20"/>
      <c r="D105" s="20"/>
      <c r="E105" s="20"/>
      <c r="F105" s="20"/>
      <c r="G105" s="20"/>
      <c r="H105" s="20"/>
      <c r="I105" s="20"/>
      <c r="J105" s="20"/>
      <c r="K105" s="20"/>
      <c r="L105" s="20"/>
      <c r="M105" s="20"/>
    </row>
    <row r="106" spans="1:13" x14ac:dyDescent="0.2">
      <c r="A106" s="20"/>
      <c r="B106" s="20"/>
      <c r="C106" s="20"/>
      <c r="D106" s="20"/>
      <c r="E106" s="20"/>
      <c r="F106" s="20"/>
      <c r="G106" s="20"/>
      <c r="H106" s="20"/>
      <c r="I106" s="20"/>
      <c r="J106" s="20"/>
      <c r="K106" s="20"/>
      <c r="L106" s="20"/>
      <c r="M106" s="20"/>
    </row>
    <row r="107" spans="1:13" x14ac:dyDescent="0.2">
      <c r="A107" s="20"/>
      <c r="B107" s="20"/>
      <c r="C107" s="20"/>
      <c r="D107" s="20"/>
      <c r="E107" s="20"/>
      <c r="F107" s="20"/>
      <c r="G107" s="20"/>
      <c r="H107" s="20"/>
      <c r="I107" s="20"/>
      <c r="J107" s="20"/>
      <c r="K107" s="20"/>
      <c r="L107" s="20"/>
      <c r="M107" s="20"/>
    </row>
    <row r="108" spans="1:13" x14ac:dyDescent="0.2">
      <c r="A108" s="20"/>
      <c r="B108" s="20"/>
      <c r="C108" s="20"/>
      <c r="D108" s="20"/>
      <c r="E108" s="20"/>
      <c r="F108" s="20"/>
      <c r="G108" s="20"/>
      <c r="H108" s="20"/>
      <c r="I108" s="20"/>
      <c r="J108" s="20"/>
      <c r="K108" s="20"/>
      <c r="L108" s="20"/>
      <c r="M108" s="20"/>
    </row>
  </sheetData>
  <mergeCells count="7">
    <mergeCell ref="A105:M108"/>
    <mergeCell ref="A1:M2"/>
    <mergeCell ref="A3:M3"/>
    <mergeCell ref="A8:H10"/>
    <mergeCell ref="A12:D12"/>
    <mergeCell ref="A37:L37"/>
    <mergeCell ref="F31:M34"/>
  </mergeCells>
  <conditionalFormatting sqref="B39:L102">
    <cfRule type="colorScale" priority="1">
      <colorScale>
        <cfvo type="min"/>
        <cfvo type="num" val="0"/>
        <cfvo type="max"/>
        <color rgb="FFF4CCCC"/>
        <color rgb="FFFFF2CC"/>
        <color rgb="FFD9EAD3"/>
      </colorScale>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H39"/>
  <sheetViews>
    <sheetView showGridLines="0" zoomScale="90" zoomScaleNormal="90" workbookViewId="0"/>
  </sheetViews>
  <sheetFormatPr baseColWidth="10" defaultColWidth="8.83203125" defaultRowHeight="15" x14ac:dyDescent="0.2"/>
  <cols>
    <col min="1" max="1" width="5.6640625" customWidth="1"/>
    <col min="2" max="2" width="23.6640625" customWidth="1"/>
    <col min="3" max="8" width="18.6640625" customWidth="1"/>
  </cols>
  <sheetData>
    <row r="2" spans="2:8" x14ac:dyDescent="0.2">
      <c r="B2" s="14" t="s">
        <v>134</v>
      </c>
      <c r="C2" s="14"/>
      <c r="D2" s="14"/>
      <c r="E2" s="14"/>
      <c r="F2" s="14"/>
      <c r="G2" s="14"/>
      <c r="H2" s="14"/>
    </row>
    <row r="3" spans="2:8" x14ac:dyDescent="0.2">
      <c r="B3" s="14"/>
      <c r="C3" s="14"/>
      <c r="D3" s="14"/>
      <c r="E3" s="14"/>
      <c r="F3" s="14"/>
      <c r="G3" s="14"/>
      <c r="H3" s="14"/>
    </row>
    <row r="4" spans="2:8" x14ac:dyDescent="0.2">
      <c r="B4" s="16" t="s">
        <v>135</v>
      </c>
      <c r="C4" s="16"/>
      <c r="D4" s="16"/>
      <c r="E4" s="16"/>
      <c r="F4" s="16"/>
      <c r="G4" s="16"/>
      <c r="H4" s="16"/>
    </row>
    <row r="6" spans="2:8" x14ac:dyDescent="0.2">
      <c r="B6" s="18" t="s">
        <v>136</v>
      </c>
      <c r="C6" s="18"/>
      <c r="D6" s="18"/>
      <c r="E6" s="18"/>
      <c r="F6" s="18"/>
      <c r="G6" s="18"/>
      <c r="H6" s="18"/>
    </row>
    <row r="7" spans="2:8" x14ac:dyDescent="0.2">
      <c r="B7" s="21" t="s">
        <v>137</v>
      </c>
      <c r="C7" s="21"/>
      <c r="D7" s="21"/>
      <c r="E7" s="21"/>
      <c r="F7" s="21"/>
      <c r="G7" s="21"/>
      <c r="H7" s="21"/>
    </row>
    <row r="8" spans="2:8" x14ac:dyDescent="0.2">
      <c r="B8" s="21"/>
      <c r="C8" s="21"/>
      <c r="D8" s="21"/>
      <c r="E8" s="21"/>
      <c r="F8" s="21"/>
      <c r="G8" s="21"/>
      <c r="H8" s="21"/>
    </row>
    <row r="9" spans="2:8" x14ac:dyDescent="0.2">
      <c r="B9" s="21"/>
      <c r="C9" s="21"/>
      <c r="D9" s="21"/>
      <c r="E9" s="21"/>
      <c r="F9" s="21"/>
      <c r="G9" s="21"/>
      <c r="H9" s="21"/>
    </row>
    <row r="11" spans="2:8" x14ac:dyDescent="0.2">
      <c r="B11" s="18" t="s">
        <v>138</v>
      </c>
      <c r="C11" s="18"/>
      <c r="D11" s="18"/>
      <c r="E11" s="18"/>
      <c r="F11" s="18"/>
      <c r="G11" s="18"/>
      <c r="H11" s="18"/>
    </row>
    <row r="12" spans="2:8" x14ac:dyDescent="0.2">
      <c r="B12" s="21" t="s">
        <v>139</v>
      </c>
      <c r="C12" s="21"/>
      <c r="D12" s="21"/>
      <c r="E12" s="21"/>
      <c r="F12" s="21"/>
      <c r="G12" s="21"/>
      <c r="H12" s="21"/>
    </row>
    <row r="13" spans="2:8" x14ac:dyDescent="0.2">
      <c r="B13" s="21"/>
      <c r="C13" s="21"/>
      <c r="D13" s="21"/>
      <c r="E13" s="21"/>
      <c r="F13" s="21"/>
      <c r="G13" s="21"/>
      <c r="H13" s="21"/>
    </row>
    <row r="14" spans="2:8" x14ac:dyDescent="0.2">
      <c r="B14" s="21"/>
      <c r="C14" s="21"/>
      <c r="D14" s="21"/>
      <c r="E14" s="21"/>
      <c r="F14" s="21"/>
      <c r="G14" s="21"/>
      <c r="H14" s="21"/>
    </row>
    <row r="15" spans="2:8" x14ac:dyDescent="0.2">
      <c r="B15" s="21"/>
      <c r="C15" s="21"/>
      <c r="D15" s="21"/>
      <c r="E15" s="21"/>
      <c r="F15" s="21"/>
      <c r="G15" s="21"/>
      <c r="H15" s="21"/>
    </row>
    <row r="17" spans="2:8" x14ac:dyDescent="0.2">
      <c r="B17" s="18" t="s">
        <v>140</v>
      </c>
      <c r="C17" s="18"/>
      <c r="D17" s="18"/>
      <c r="E17" s="18"/>
      <c r="F17" s="18"/>
      <c r="G17" s="18"/>
      <c r="H17" s="18"/>
    </row>
    <row r="19" spans="2:8" ht="38" customHeight="1" x14ac:dyDescent="0.2">
      <c r="B19" s="6" t="s">
        <v>141</v>
      </c>
      <c r="C19" s="9" t="s">
        <v>142</v>
      </c>
      <c r="D19" s="21" t="s">
        <v>143</v>
      </c>
      <c r="E19" s="21"/>
      <c r="F19" s="21"/>
      <c r="G19" s="21"/>
      <c r="H19" s="21"/>
    </row>
    <row r="20" spans="2:8" ht="38" customHeight="1" x14ac:dyDescent="0.2">
      <c r="B20" s="6" t="s">
        <v>144</v>
      </c>
      <c r="C20" s="9" t="s">
        <v>145</v>
      </c>
      <c r="D20" s="21" t="s">
        <v>146</v>
      </c>
      <c r="E20" s="21"/>
      <c r="F20" s="21"/>
      <c r="G20" s="21"/>
      <c r="H20" s="21"/>
    </row>
    <row r="21" spans="2:8" ht="38" customHeight="1" x14ac:dyDescent="0.2">
      <c r="B21" s="6" t="s">
        <v>147</v>
      </c>
      <c r="C21" s="9" t="s">
        <v>148</v>
      </c>
      <c r="D21" s="21" t="s">
        <v>149</v>
      </c>
      <c r="E21" s="21"/>
      <c r="F21" s="21"/>
      <c r="G21" s="21"/>
      <c r="H21" s="21"/>
    </row>
    <row r="22" spans="2:8" ht="38" customHeight="1" x14ac:dyDescent="0.2">
      <c r="B22" s="6" t="s">
        <v>150</v>
      </c>
      <c r="C22" s="9" t="s">
        <v>151</v>
      </c>
      <c r="D22" s="21" t="s">
        <v>152</v>
      </c>
      <c r="E22" s="21"/>
      <c r="F22" s="21"/>
      <c r="G22" s="21"/>
      <c r="H22" s="21"/>
    </row>
    <row r="23" spans="2:8" ht="38" customHeight="1" x14ac:dyDescent="0.2">
      <c r="B23" s="6" t="s">
        <v>153</v>
      </c>
      <c r="C23" s="9" t="s">
        <v>154</v>
      </c>
      <c r="D23" s="21" t="s">
        <v>155</v>
      </c>
      <c r="E23" s="21"/>
      <c r="F23" s="21"/>
      <c r="G23" s="21"/>
      <c r="H23" s="21"/>
    </row>
    <row r="24" spans="2:8" ht="38" customHeight="1" x14ac:dyDescent="0.2">
      <c r="B24" s="6" t="s">
        <v>156</v>
      </c>
      <c r="C24" s="9" t="s">
        <v>157</v>
      </c>
      <c r="D24" s="21" t="s">
        <v>158</v>
      </c>
      <c r="E24" s="21"/>
      <c r="F24" s="21"/>
      <c r="G24" s="21"/>
      <c r="H24" s="21"/>
    </row>
    <row r="25" spans="2:8" ht="38" customHeight="1" x14ac:dyDescent="0.2">
      <c r="B25" s="6" t="s">
        <v>159</v>
      </c>
      <c r="C25" s="9" t="s">
        <v>160</v>
      </c>
      <c r="D25" s="21" t="s">
        <v>161</v>
      </c>
      <c r="E25" s="21"/>
      <c r="F25" s="21"/>
      <c r="G25" s="21"/>
      <c r="H25" s="21"/>
    </row>
    <row r="27" spans="2:8" x14ac:dyDescent="0.2">
      <c r="B27" s="18" t="s">
        <v>162</v>
      </c>
      <c r="C27" s="18"/>
      <c r="D27" s="18"/>
      <c r="E27" s="18"/>
      <c r="F27" s="18"/>
      <c r="G27" s="18"/>
      <c r="H27" s="18"/>
    </row>
    <row r="28" spans="2:8" x14ac:dyDescent="0.2">
      <c r="B28" s="17" t="s">
        <v>163</v>
      </c>
      <c r="C28" s="17"/>
      <c r="D28" s="17"/>
      <c r="E28" s="17"/>
      <c r="F28" s="17"/>
      <c r="G28" s="17"/>
      <c r="H28" s="17"/>
    </row>
    <row r="29" spans="2:8" x14ac:dyDescent="0.2">
      <c r="B29" s="17"/>
      <c r="C29" s="17"/>
      <c r="D29" s="17"/>
      <c r="E29" s="17"/>
      <c r="F29" s="17"/>
      <c r="G29" s="17"/>
      <c r="H29" s="17"/>
    </row>
    <row r="30" spans="2:8" x14ac:dyDescent="0.2">
      <c r="B30" s="17"/>
      <c r="C30" s="17"/>
      <c r="D30" s="17"/>
      <c r="E30" s="17"/>
      <c r="F30" s="17"/>
      <c r="G30" s="17"/>
      <c r="H30" s="17"/>
    </row>
    <row r="31" spans="2:8" x14ac:dyDescent="0.2">
      <c r="B31" s="17"/>
      <c r="C31" s="17"/>
      <c r="D31" s="17"/>
      <c r="E31" s="17"/>
      <c r="F31" s="17"/>
      <c r="G31" s="17"/>
      <c r="H31" s="17"/>
    </row>
    <row r="32" spans="2:8" x14ac:dyDescent="0.2">
      <c r="B32" s="17"/>
      <c r="C32" s="17"/>
      <c r="D32" s="17"/>
      <c r="E32" s="17"/>
      <c r="F32" s="17"/>
      <c r="G32" s="17"/>
      <c r="H32" s="17"/>
    </row>
    <row r="33" spans="2:8" x14ac:dyDescent="0.2">
      <c r="B33" s="17"/>
      <c r="C33" s="17"/>
      <c r="D33" s="17"/>
      <c r="E33" s="17"/>
      <c r="F33" s="17"/>
      <c r="G33" s="17"/>
      <c r="H33" s="17"/>
    </row>
    <row r="35" spans="2:8" x14ac:dyDescent="0.2">
      <c r="B35" s="18" t="s">
        <v>164</v>
      </c>
      <c r="C35" s="18"/>
      <c r="D35" s="18"/>
      <c r="E35" s="18"/>
      <c r="F35" s="18"/>
      <c r="G35" s="18"/>
      <c r="H35" s="18"/>
    </row>
    <row r="36" spans="2:8" x14ac:dyDescent="0.2">
      <c r="B36" s="19" t="s">
        <v>165</v>
      </c>
      <c r="C36" s="19"/>
      <c r="D36" s="19"/>
      <c r="E36" s="19"/>
      <c r="F36" s="19"/>
      <c r="G36" s="19"/>
      <c r="H36" s="19"/>
    </row>
    <row r="37" spans="2:8" x14ac:dyDescent="0.2">
      <c r="B37" s="19"/>
      <c r="C37" s="19"/>
      <c r="D37" s="19"/>
      <c r="E37" s="19"/>
      <c r="F37" s="19"/>
      <c r="G37" s="19"/>
      <c r="H37" s="19"/>
    </row>
    <row r="38" spans="2:8" x14ac:dyDescent="0.2">
      <c r="B38" s="19"/>
      <c r="C38" s="19"/>
      <c r="D38" s="19"/>
      <c r="E38" s="19"/>
      <c r="F38" s="19"/>
      <c r="G38" s="19"/>
      <c r="H38" s="19"/>
    </row>
    <row r="39" spans="2:8" x14ac:dyDescent="0.2">
      <c r="B39" s="19"/>
      <c r="C39" s="19"/>
      <c r="D39" s="19"/>
      <c r="E39" s="19"/>
      <c r="F39" s="19"/>
      <c r="G39" s="19"/>
      <c r="H39" s="19"/>
    </row>
  </sheetData>
  <mergeCells count="18">
    <mergeCell ref="B28:H33"/>
    <mergeCell ref="B35:H35"/>
    <mergeCell ref="B36:H39"/>
    <mergeCell ref="D22:H22"/>
    <mergeCell ref="D23:H23"/>
    <mergeCell ref="D24:H24"/>
    <mergeCell ref="D25:H25"/>
    <mergeCell ref="B27:H27"/>
    <mergeCell ref="B12:H15"/>
    <mergeCell ref="B17:H17"/>
    <mergeCell ref="D19:H19"/>
    <mergeCell ref="D20:H20"/>
    <mergeCell ref="D21:H21"/>
    <mergeCell ref="B2:H3"/>
    <mergeCell ref="B4:H4"/>
    <mergeCell ref="B6:H6"/>
    <mergeCell ref="B7:H9"/>
    <mergeCell ref="B11:H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1. Summary</vt:lpstr>
      <vt:lpstr>2. Panel Baseline</vt:lpstr>
      <vt:lpstr>3. Card Performance</vt:lpstr>
      <vt:lpstr>4. Card29 Context</vt:lpstr>
      <vt:lpstr>5. Intervention Population</vt:lpstr>
      <vt:lpstr>6. Redistribution Model</vt:lpstr>
      <vt:lpstr>7. Break-even Sensitivity</vt:lpstr>
      <vt:lpstr>8. Methodology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Credit Card Panel Performance Review</dc:title>
  <dc:subject>Ocean Finance Analytics Engineer exercise</dc:subject>
  <dc:creator/>
  <dc:description>Generated from reproducible SQL/Python analysis outputs.</dc:description>
  <cp:lastModifiedBy>STAVROS ROSSOS</cp:lastModifiedBy>
  <dcterms:created xsi:type="dcterms:W3CDTF">2026-09-08T09:55:19Z</dcterms:created>
  <dcterms:modified xsi:type="dcterms:W3CDTF">2026-09-08T10:04:51Z</dcterms:modified>
</cp:coreProperties>
</file>