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21bf58adbb4931" /></Relationships>
</file>

<file path=xl/workbook.xml><?xml version="1.0" encoding="utf-8"?>
<x:workbook xmlns:x="http://schemas.openxmlformats.org/spreadsheetml/2006/main">
  <x:sheets>
    <x:sheet xmlns:r="http://schemas.openxmlformats.org/officeDocument/2006/relationships" name="1. Summary" sheetId="1" r:id="Refab6055bf8a476b"/>
    <x:sheet xmlns:r="http://schemas.openxmlformats.org/officeDocument/2006/relationships" name="2. Panel Baseline" sheetId="2" r:id="Rc2ccec130ff446b9"/>
    <x:sheet xmlns:r="http://schemas.openxmlformats.org/officeDocument/2006/relationships" name="3. Card Performance" sheetId="3" r:id="R4ee38f5973124591"/>
    <x:sheet xmlns:r="http://schemas.openxmlformats.org/officeDocument/2006/relationships" name="4. Card 29 context" sheetId="4" r:id="R0d8b555ac4ce4e69"/>
    <x:sheet xmlns:r="http://schemas.openxmlformats.org/officeDocument/2006/relationships" name="5. Scenario Analysis" sheetId="5" r:id="Ref43ffdf51554757"/>
    <x:sheet xmlns:r="http://schemas.openxmlformats.org/officeDocument/2006/relationships" name="6. Sensitivity" sheetId="6" r:id="R3e212fac230a4049"/>
    <x:sheet xmlns:r="http://schemas.openxmlformats.org/officeDocument/2006/relationships" name="7. Methodology" sheetId="7" r:id="Rec1a066624d44d63"/>
  </x:sheets>
</x:workbook>
</file>

<file path=xl/sharedStrings.xml><?xml version="1.0" encoding="utf-8"?>
<x:sst xmlns:x="http://schemas.openxmlformats.org/spreadsheetml/2006/main">
  <x:si>
    <x:t xml:space="preserve">total_applications</x:t>
  </x:si>
  <x:si>
    <x:t xml:space="preserve">total_offers</x:t>
  </x:si>
  <x:si>
    <x:t xml:space="preserve">applications_with_click</x:t>
  </x:si>
  <x:si>
    <x:t xml:space="preserve">total_clicks</x:t>
  </x:si>
  <x:si>
    <x:t xml:space="preserve">total_sales</x:t>
  </x:si>
  <x:si>
    <x:t xml:space="preserve">total_revenue</x:t>
  </x:si>
  <x:si>
    <x:t xml:space="preserve">application_clickout_rate</x:t>
  </x:si>
  <x:si>
    <x:t xml:space="preserve">offer_click_through_rate</x:t>
  </x:si>
  <x:si>
    <x:t xml:space="preserve">click_to_sale_rate</x:t>
  </x:si>
  <x:si>
    <x:t xml:space="preserve">revenue_per_click</x:t>
  </x:si>
  <x:si>
    <x:t xml:space="preserve">revenue_per_application</x:t>
  </x:si>
  <x:si>
    <x:t xml:space="preserve">sales_per_100_applications</x:t>
  </x:si>
  <x:si>
    <x:t xml:space="preserve">card_id</x:t>
  </x:si>
  <x:si>
    <x:t xml:space="preserve">offers</x:t>
  </x:si>
  <x:si>
    <x:t xml:space="preserve">clicks</x:t>
  </x:si>
  <x:si>
    <x:t xml:space="preserve">click_through_rate</x:t>
  </x:si>
  <x:si>
    <x:t xml:space="preserve">sales</x:t>
  </x:si>
  <x:si>
    <x:t xml:space="preserve">revenue</x:t>
  </x:si>
  <x:si>
    <x:t xml:space="preserve">revenue_per_offer</x:t>
  </x:si>
  <x:si>
    <x:t xml:space="preserve">revenue_per_sale</x:t>
  </x:si>
  <x:si>
    <x:t xml:space="preserve">avg_apr</x:t>
  </x:si>
  <x:si>
    <x:t xml:space="preserve">avg_likelihood</x:t>
  </x:si>
  <x:si>
    <x:t xml:space="preserve">avg_apr_rank</x:t>
  </x:si>
  <x:si>
    <x:t xml:space="preserve">avg_likelihood_rank</x:t>
  </x:si>
  <x:si>
    <x:t xml:space="preserve">Card 29</x:t>
  </x:si>
  <x:si>
    <x:t xml:space="preserve">Card 30</x:t>
  </x:si>
  <x:si>
    <x:t xml:space="preserve">Card 7</x:t>
  </x:si>
  <x:si>
    <x:t xml:space="preserve">Card 9</x:t>
  </x:si>
  <x:si>
    <x:t xml:space="preserve">Card 23</x:t>
  </x:si>
  <x:si>
    <x:t xml:space="preserve">Card 4</x:t>
  </x:si>
  <x:si>
    <x:t xml:space="preserve">Card 31</x:t>
  </x:si>
  <x:si>
    <x:t xml:space="preserve">Card 24</x:t>
  </x:si>
  <x:si>
    <x:t xml:space="preserve">Card 8</x:t>
  </x:si>
  <x:si>
    <x:t xml:space="preserve">Card 2</x:t>
  </x:si>
  <x:si>
    <x:t xml:space="preserve">Card 25</x:t>
  </x:si>
  <x:si>
    <x:t xml:space="preserve">Card 14</x:t>
  </x:si>
  <x:si>
    <x:t xml:space="preserve">Card 10</x:t>
  </x:si>
  <x:si>
    <x:t xml:space="preserve">Card 15</x:t>
  </x:si>
  <x:si>
    <x:t xml:space="preserve">Card 22</x:t>
  </x:si>
  <x:si>
    <x:t xml:space="preserve">Card 3</x:t>
  </x:si>
  <x:si>
    <x:t xml:space="preserve">Card 18</x:t>
  </x:si>
  <x:si>
    <x:t xml:space="preserve">Card 1</x:t>
  </x:si>
  <x:si>
    <x:t xml:space="preserve">Card 6</x:t>
  </x:si>
  <x:si>
    <x:t xml:space="preserve">Card 11</x:t>
  </x:si>
  <x:si>
    <x:t xml:space="preserve">Card 12</x:t>
  </x:si>
  <x:si>
    <x:t xml:space="preserve">Card 27</x:t>
  </x:si>
  <x:si>
    <x:t xml:space="preserve">Card 16</x:t>
  </x:si>
  <x:si>
    <x:t xml:space="preserve">Card 17</x:t>
  </x:si>
  <x:si>
    <x:t xml:space="preserve">Card 5</x:t>
  </x:si>
  <x:si>
    <x:t xml:space="preserve">Card 20</x:t>
  </x:si>
  <x:si>
    <x:t xml:space="preserve">Card 28</x:t>
  </x:si>
  <x:si>
    <x:t xml:space="preserve">Card 19</x:t>
  </x:si>
  <x:si>
    <x:t xml:space="preserve">Card 26</x:t>
  </x:si>
  <x:si>
    <x:t xml:space="preserve">Card 21</x:t>
  </x:si>
  <x:si>
    <x:t xml:space="preserve">Card 13</x:t>
  </x:si>
  <x:si>
    <x:t xml:space="preserve">Card 34</x:t>
  </x:si>
  <x:si>
    <x:t xml:space="preserve">Card 33</x:t>
  </x:si>
  <x:si>
    <x:t xml:space="preserve">Card 32</x:t>
  </x:si>
  <x:si>
    <x:t xml:space="preserve">competitor_card</x:t>
  </x:si>
  <x:si>
    <x:t xml:space="preserve">applications_together</x:t>
  </x:si>
  <x:si>
    <x:t xml:space="preserve">card29_clicks</x:t>
  </x:si>
  <x:si>
    <x:t xml:space="preserve">competitor_clicks</x:t>
  </x:si>
  <x:si>
    <x:t xml:space="preserve">card29_click_rate</x:t>
  </x:si>
  <x:si>
    <x:t xml:space="preserve">competitor_click_rate</x:t>
  </x:si>
  <x:si>
    <x:t xml:space="preserve">click_rate_multiple</x:t>
  </x:si>
  <x:si>
    <x:t xml:space="preserve">same_likelihood_rate</x:t>
  </x:si>
  <x:si>
    <x:t xml:space="preserve">card29_higher_likelihood_rate</x:t>
  </x:si>
  <x:si>
    <x:t xml:space="preserve">card29_lower_apr_rate</x:t>
  </x:si>
  <x:si>
    <x:t xml:space="preserve">scenario</x:t>
  </x:si>
  <x:si>
    <x:t xml:space="preserve">clicks_or_expected_clicks</x:t>
  </x:si>
  <x:si>
    <x:t xml:space="preserve">sales_or_expected_sales</x:t>
  </x:si>
  <x:si>
    <x:t xml:space="preserve">revenue_or_expected_revenue</x:t>
  </x:si>
  <x:si>
    <x:t xml:space="preserve">Keep Card 29</x:t>
  </x:si>
  <x:si>
    <x:t xml:space="preserve">A - strongest visible alternative</x:t>
  </x:si>
  <x:si>
    <x:t xml:space="preserve">B - empirical redistribution</x:t>
  </x:si>
  <x:si>
    <x:t xml:space="preserve">modelled_replacements</x:t>
  </x:si>
  <x:si>
    <x:t xml:space="preserve">outcome</x:t>
  </x:si>
  <x:si>
    <x:t xml:space="preserve">expected_applicants</x:t>
  </x:si>
  <x:si>
    <x:t xml:space="preserve">expected_sales</x:t>
  </x:si>
  <x:si>
    <x:t xml:space="preserve">expected_revenue</x:t>
  </x:si>
  <x:si>
    <x:t xml:space="preserve">Other card</x:t>
  </x:si>
  <x:si>
    <x:t xml:space="preserve">No click</x:t>
  </x:si>
  <x:si>
    <x:t xml:space="preserve">metric</x:t>
  </x:si>
  <x:si>
    <x:t xml:space="preserve">value</x:t>
  </x:si>
  <x:si>
    <x:t xml:space="preserve">Remaining-group sales break-even transfer</x:t>
  </x:si>
  <x:si>
    <x:t xml:space="preserve">Remaining-group revenue break-even transfer</x:t>
  </x:si>
  <x:si>
    <x:t xml:space="preserve">remaining_transfer_rate</x:t>
  </x:si>
  <x:si>
    <x:t xml:space="preserve">sales_vs_card29</x:t>
  </x:si>
  <x:si>
    <x:t xml:space="preserve">revenue_vs_card29</x:t>
  </x:si>
</x:sst>
</file>

<file path=xl/styles.xml><?xml version="1.0" encoding="utf-8"?>
<x:styleSheet xmlns:x="http://schemas.openxmlformats.org/spreadsheetml/2006/main">
  <x:numFmts count="13">
    <x:numFmt numFmtId="200" formatCode="#,##0"/>
    <x:numFmt numFmtId="201" formatCode="£#,##0.00"/>
    <x:numFmt numFmtId="202" formatCode="0.0%"/>
    <x:numFmt numFmtId="203" formatCode="£0.00"/>
    <x:numFmt numFmtId="204" formatCode="0.0"/>
    <x:numFmt numFmtId="205" formatCode="0.00"/>
    <x:numFmt numFmtId="206" formatCode="0.00&quot;x&quot;"/>
    <x:numFmt numFmtId="207" formatCode="0%"/>
    <x:numFmt numFmtId="208" formatCode="£#,##0.00;[Red]-£#,##0.00"/>
    <x:numFmt numFmtId="209" formatCode="&quot;£&quot;#,##0.00"/>
    <x:numFmt numFmtId="210" formatCode="&quot;£&quot;#,##0.00;[Red]-&quot;£&quot;#,##0.00"/>
    <x:numFmt numFmtId="211" formatCode="&quot;£&quot;0.00"/>
    <x:numFmt numFmtId="212" formatCode="+&quot;£&quot;#,##0;[Red]-&quot;£&quot;#,##0"/>
  </x:numFmts>
  <x:fonts count="29">
    <x:font>
      <x:sz val="12"/>
      <x:color theme="1"/>
      <x:name val="Aptos Narrow"/>
    </x:font>
    <x:font>
      <x:sz val="10"/>
      <x:color rgb="FF000000"/>
      <x:name val="Helvetica Neue"/>
    </x:font>
    <x:font>
      <x:b/>
      <x:sz val="10"/>
      <x:color rgb="FF000000"/>
      <x:name val="Helvetica Neue"/>
    </x:font>
    <x:font>
      <x:sz val="12"/>
      <x:color theme="1"/>
      <x:name val="Helvetica"/>
    </x:font>
    <x:font>
      <x:b/>
      <x:sz val="10"/>
      <x:color rgb="FF1F2937"/>
      <x:name val="Helvetica Neue"/>
    </x:font>
    <x:font>
      <x:sz val="10"/>
      <x:color rgb="FF1F2937"/>
      <x:name val="Helvetica Neue"/>
    </x:font>
    <x:font>
      <x:b/>
      <x:sz val="10"/>
      <x:color rgb="FFFFFFFF"/>
      <x:name val="Helvetica Neue"/>
    </x:font>
    <x:font>
      <x:sz val="10"/>
      <x:color rgb="FF1F2937"/>
      <x:name val="Helvetica"/>
    </x:font>
    <x:font>
      <x:b/>
      <x:sz val="10"/>
      <x:color rgb="FF7A4E00"/>
      <x:name val="Helvetica Neue"/>
    </x:font>
    <x:font>
      <x:b/>
      <x:sz val="10"/>
      <x:color rgb="FF163A4A"/>
      <x:name val="Helvetica Neue"/>
    </x:font>
    <x:font>
      <x:sz val="10"/>
      <x:color rgb="FF1F2937"/>
      <x:name val="Aptos Narrow"/>
    </x:font>
    <x:font>
      <x:b/>
      <x:sz val="10"/>
      <x:color rgb="FF163A4A"/>
      <x:name val="Aptos Narrow"/>
    </x:font>
    <x:font>
      <x:b/>
      <x:sz val="21"/>
      <x:color rgb="FFFFFFFF"/>
      <x:name val="Aptos Narrow"/>
    </x:font>
    <x:font>
      <x:i/>
      <x:sz val="10"/>
      <x:color rgb="FF5F6B76"/>
      <x:name val="Aptos Narrow"/>
    </x:font>
    <x:font>
      <x:b/>
      <x:sz val="11"/>
      <x:color rgb="FF6B4E00"/>
      <x:name val="Aptos Narrow"/>
    </x:font>
    <x:font>
      <x:b/>
      <x:sz val="11"/>
      <x:color rgb="FFFFFFFF"/>
      <x:name val="Aptos Narrow"/>
    </x:font>
    <x:font>
      <x:b/>
      <x:sz val="9"/>
      <x:color rgb="FF0F5D75"/>
      <x:name val="Aptos Narrow"/>
    </x:font>
    <x:font>
      <x:b/>
      <x:sz val="18"/>
      <x:color rgb="FF1F2937"/>
      <x:name val="Aptos Narrow"/>
    </x:font>
    <x:font>
      <x:b/>
      <x:sz val="9"/>
      <x:color rgb="FFFFFFFF"/>
      <x:name val="Aptos Narrow"/>
    </x:font>
    <x:font>
      <x:b/>
      <x:sz val="9"/>
      <x:color rgb="FF6B4E00"/>
      <x:name val="Aptos Narrow"/>
    </x:font>
    <x:font>
      <x:sz val="9"/>
      <x:color rgb="FF1F2937"/>
      <x:name val="Aptos Narrow"/>
    </x:font>
    <x:font>
      <x:sz val="9"/>
      <x:color rgb="FF6B4E00"/>
      <x:name val="Aptos Narrow"/>
    </x:font>
    <x:font>
      <x:sz val="10"/>
      <x:color rgb="FF176B3A"/>
      <x:name val="Aptos Narrow"/>
    </x:font>
    <x:font>
      <x:i/>
      <x:sz val="8"/>
      <x:color rgb="FF5F6B76"/>
      <x:name val="Aptos Narrow"/>
    </x:font>
    <x:font>
      <x:b/>
      <x:sz val="11"/>
      <x:color rgb="FF163A4A"/>
      <x:name val="Aptos Narrow"/>
    </x:font>
    <x:font>
      <x:b/>
      <x:sz val="10"/>
      <x:color rgb="FF6B4E00"/>
      <x:name val="Aptos Narrow"/>
    </x:font>
    <x:font>
      <x:b/>
      <x:sz val="9"/>
      <x:color rgb="FF163A4A"/>
      <x:name val="Aptos Narrow"/>
    </x:font>
    <x:font>
      <x:i/>
      <x:sz val="9"/>
      <x:color rgb="FF5F6B76"/>
      <x:name val="Aptos Narrow"/>
    </x:font>
    <x:font>
      <x:b/>
      <x:sz val="10"/>
      <x:color rgb="FF176B3A"/>
      <x:name val="Aptos Narrow"/>
    </x:font>
  </x:fonts>
  <x:fills count="22">
    <x:fill>
      <x:patternFill patternType="none"/>
    </x:fill>
    <x:fill>
      <x:patternFill patternType="gray125"/>
    </x:fill>
    <x:fill>
      <x:patternFill patternType="solid">
        <x:fgColor rgb="FF0F5D75"/>
      </x:patternFill>
    </x:fill>
    <x:fill>
      <x:patternFill patternType="solid">
        <x:fgColor rgb="FFFFF2CC"/>
      </x:patternFill>
    </x:fill>
    <x:fill>
      <x:patternFill patternType="solid">
        <x:fgColor rgb="FFEAF4F8"/>
      </x:patternFill>
    </x:fill>
    <x:fill>
      <x:patternFill patternType="solid">
        <x:fgColor rgb="FFD9EAF2"/>
      </x:patternFill>
    </x:fill>
    <x:fill>
      <x:patternFill patternType="solid">
        <x:fgColor rgb="FFF3F4F6"/>
      </x:patternFill>
    </x:fill>
    <x:fill>
      <x:patternFill patternType="solid">
        <x:fgColor rgb="FFE8F5E9"/>
      </x:patternFill>
    </x:fill>
    <x:fill>
      <x:patternFill patternType="solid">
        <x:fgColor rgb="FF0F5D75"/>
      </x:patternFill>
    </x:fill>
    <x:fill>
      <x:patternFill patternType="solid">
        <x:fgColor rgb="FFFFF2CC"/>
      </x:patternFill>
    </x:fill>
    <x:fill>
      <x:patternFill patternType="solid">
        <x:fgColor rgb="FFEAF4F8"/>
      </x:patternFill>
    </x:fill>
    <x:fill>
      <x:patternFill patternType="solid">
        <x:fgColor rgb="FF2F7E96"/>
      </x:patternFill>
    </x:fill>
    <x:fill>
      <x:patternFill patternType="solid">
        <x:fgColor rgb="FFF3F4F6"/>
      </x:patternFill>
    </x:fill>
    <x:fill>
      <x:patternFill patternType="solid">
        <x:fgColor rgb="FFE8F5E9"/>
      </x:patternFill>
    </x:fill>
    <x:fill>
      <x:patternFill patternType="solid">
        <x:fgColor rgb="FFFFF9E6"/>
      </x:patternFill>
    </x:fill>
    <x:fill>
      <x:patternFill patternType="solid">
        <x:fgColor rgb="FF0F5D75"/>
      </x:patternFill>
    </x:fill>
    <x:fill>
      <x:patternFill patternType="solid">
        <x:fgColor rgb="FFD9EAF2"/>
      </x:patternFill>
    </x:fill>
    <x:fill>
      <x:patternFill patternType="solid">
        <x:fgColor rgb="FFFFF2CC"/>
      </x:patternFill>
    </x:fill>
    <x:fill>
      <x:patternFill patternType="solid">
        <x:fgColor rgb="FFFFFFFF"/>
      </x:patternFill>
    </x:fill>
    <x:fill>
      <x:patternFill patternType="solid">
        <x:fgColor rgb="FFF8FAFB"/>
      </x:patternFill>
    </x:fill>
    <x:fill>
      <x:patternFill patternType="solid">
        <x:fgColor rgb="FFE8F5E9"/>
      </x:patternFill>
    </x:fill>
    <x:fill>
      <x:patternFill patternType="solid">
        <x:fgColor rgb="FFF3F4F6"/>
      </x:patternFill>
    </x:fill>
  </x:fills>
  <x:borders count="2">
    <x:border/>
    <x:border/>
  </x:borders>
  <x:cellStyleXfs count="1">
    <x:xf numFmtId="0" fontId="0" fillId="0" borderId="0"/>
  </x:cellStyleXfs>
  <x:cellXfs count="287">
    <x:xf numFmtId="0" fontId="0" fillId="0" borderId="0" xfId="0"/>
    <x:xf numFmtId="0" fontId="2" fillId="0" borderId="0" xfId="0" applyFont="1"/>
    <x:xf numFmtId="0" fontId="1" fillId="0" borderId="0" xfId="0" applyFont="1"/>
    <x:xf numFmtId="0" fontId="3" fillId="0" borderId="0" xfId="0" applyFont="1"/>
    <x:xf numFmtId="0" fontId="0" fillId="0" borderId="1" xfId="0" applyNumberFormat="1" applyFont="1" applyFill="1" applyBorder="1"/>
    <x:xf numFmtId="0" fontId="2" fillId="0" borderId="1" xfId="0" applyNumberFormat="1" applyFont="1" applyFill="1" applyBorder="1"/>
    <x:xf numFmtId="0" fontId="1" fillId="0" borderId="1" xfId="0" applyNumberFormat="1" applyFont="1" applyFill="1" applyBorder="1"/>
    <x:xf numFmtId="0" fontId="3" fillId="0" borderId="1"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4" fillId="0" borderId="1" xfId="0" applyNumberFormat="1" applyFont="1" applyFill="1" applyBorder="1"/>
    <x:xf numFmtId="0" fontId="5" fillId="0" borderId="1" xfId="0" applyNumberFormat="1" applyFont="1" applyFill="1" applyBorder="1"/>
    <x:xf numFmtId="0" fontId="4" fillId="2"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4" fillId="2" borderId="1" xfId="0" applyNumberFormat="1" applyFont="1" applyFill="1" applyBorder="1"/>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vertical="center" wrapText="1"/>
    </x:xf>
    <x:xf numFmtId="200" fontId="4" fillId="0" borderId="0" xfId="0" applyNumberFormat="1" applyFont="1" applyFill="1" applyBorder="1"/>
    <x:xf numFmtId="200" fontId="5" fillId="0" borderId="0" xfId="0" applyNumberFormat="1" applyFont="1" applyFill="1" applyBorder="1"/>
    <x:xf numFmtId="200" fontId="4" fillId="0" borderId="1" xfId="0" applyNumberFormat="1" applyFont="1" applyFill="1" applyBorder="1"/>
    <x:xf numFmtId="200" fontId="5" fillId="0" borderId="1" xfId="0" applyNumberFormat="1" applyFont="1" applyFill="1" applyBorder="1"/>
    <x:xf numFmtId="201" fontId="5" fillId="0" borderId="0" xfId="0" applyNumberFormat="1" applyFont="1" applyFill="1" applyBorder="1"/>
    <x:xf numFmtId="201" fontId="5" fillId="0" borderId="1" xfId="0" applyNumberFormat="1" applyFont="1" applyFill="1" applyBorder="1"/>
    <x:xf numFmtId="202" fontId="5" fillId="0" borderId="0" xfId="0" applyNumberFormat="1" applyFont="1" applyFill="1" applyBorder="1"/>
    <x:xf numFmtId="202" fontId="5" fillId="0" borderId="1" xfId="0" applyNumberFormat="1" applyFont="1" applyFill="1" applyBorder="1"/>
    <x:xf numFmtId="203" fontId="5" fillId="0" borderId="0" xfId="0" applyNumberFormat="1" applyFont="1" applyFill="1" applyBorder="1"/>
    <x:xf numFmtId="203" fontId="5" fillId="0" borderId="1" xfId="0" applyNumberFormat="1" applyFont="1" applyFill="1" applyBorder="1"/>
    <x:xf numFmtId="204" fontId="5" fillId="0" borderId="0" xfId="0" applyNumberFormat="1" applyFont="1" applyFill="1" applyBorder="1"/>
    <x:xf numFmtId="204" fontId="5" fillId="0" borderId="1" xfId="0" applyNumberFormat="1" applyFont="1" applyFill="1" applyBorder="1"/>
    <x:xf numFmtId="0" fontId="7" fillId="0" borderId="0" xfId="0" applyNumberFormat="1" applyFont="1" applyFill="1" applyBorder="1"/>
    <x:xf numFmtId="0" fontId="7" fillId="0" borderId="1" xfId="0" applyNumberFormat="1" applyFont="1" applyFill="1" applyBorder="1"/>
    <x:xf numFmtId="202" fontId="7" fillId="0" borderId="0" xfId="0" applyNumberFormat="1" applyFont="1" applyFill="1" applyBorder="1"/>
    <x:xf numFmtId="202" fontId="7" fillId="0" borderId="1" xfId="0" applyNumberFormat="1" applyFont="1" applyFill="1" applyBorder="1"/>
    <x:xf numFmtId="203" fontId="7" fillId="0" borderId="0" xfId="0" applyNumberFormat="1" applyFont="1" applyFill="1" applyBorder="1"/>
    <x:xf numFmtId="203" fontId="7" fillId="0" borderId="1" xfId="0" applyNumberFormat="1" applyFont="1" applyFill="1" applyBorder="1"/>
    <x:xf numFmtId="205" fontId="5" fillId="0" borderId="0" xfId="0" applyNumberFormat="1" applyFont="1" applyFill="1" applyBorder="1"/>
    <x:xf numFmtId="205" fontId="5" fillId="0" borderId="1" xfId="0" applyNumberFormat="1" applyFont="1" applyFill="1" applyBorder="1"/>
    <x:xf numFmtId="0" fontId="4" fillId="3" borderId="0" xfId="0" applyNumberFormat="1" applyFont="1" applyFill="1" applyBorder="1"/>
    <x:xf numFmtId="200" fontId="5" fillId="3" borderId="0" xfId="0" applyNumberFormat="1" applyFont="1" applyFill="1" applyBorder="1"/>
    <x:xf numFmtId="202" fontId="5" fillId="3" borderId="0" xfId="0" applyNumberFormat="1" applyFont="1" applyFill="1" applyBorder="1"/>
    <x:xf numFmtId="201" fontId="5" fillId="3" borderId="0" xfId="0" applyNumberFormat="1" applyFont="1" applyFill="1" applyBorder="1"/>
    <x:xf numFmtId="203" fontId="5" fillId="3" borderId="0" xfId="0" applyNumberFormat="1" applyFont="1" applyFill="1" applyBorder="1"/>
    <x:xf numFmtId="204" fontId="5" fillId="3" borderId="0" xfId="0" applyNumberFormat="1" applyFont="1" applyFill="1" applyBorder="1"/>
    <x:xf numFmtId="205" fontId="5" fillId="3" borderId="0" xfId="0" applyNumberFormat="1" applyFont="1" applyFill="1" applyBorder="1"/>
    <x:xf numFmtId="0" fontId="4" fillId="3" borderId="1" xfId="0" applyNumberFormat="1" applyFont="1" applyFill="1" applyBorder="1"/>
    <x:xf numFmtId="200" fontId="5" fillId="3" borderId="1" xfId="0" applyNumberFormat="1" applyFont="1" applyFill="1" applyBorder="1"/>
    <x:xf numFmtId="202" fontId="5" fillId="3" borderId="1" xfId="0" applyNumberFormat="1" applyFont="1" applyFill="1" applyBorder="1"/>
    <x:xf numFmtId="201" fontId="5" fillId="3" borderId="1" xfId="0" applyNumberFormat="1" applyFont="1" applyFill="1" applyBorder="1"/>
    <x:xf numFmtId="203" fontId="5" fillId="3" borderId="1" xfId="0" applyNumberFormat="1" applyFont="1" applyFill="1" applyBorder="1"/>
    <x:xf numFmtId="204" fontId="5" fillId="3" borderId="1" xfId="0" applyNumberFormat="1" applyFont="1" applyFill="1" applyBorder="1"/>
    <x:xf numFmtId="205" fontId="5" fillId="3" borderId="1" xfId="0" applyNumberFormat="1" applyFont="1" applyFill="1" applyBorder="1"/>
    <x:xf numFmtId="0" fontId="8" fillId="3" borderId="0" xfId="0" applyNumberFormat="1" applyFont="1" applyFill="1" applyBorder="1"/>
    <x:xf numFmtId="200" fontId="8" fillId="3" borderId="0" xfId="0" applyNumberFormat="1" applyFont="1" applyFill="1" applyBorder="1"/>
    <x:xf numFmtId="202" fontId="8" fillId="3" borderId="0" xfId="0" applyNumberFormat="1" applyFont="1" applyFill="1" applyBorder="1"/>
    <x:xf numFmtId="201" fontId="8" fillId="3" borderId="0" xfId="0" applyNumberFormat="1" applyFont="1" applyFill="1" applyBorder="1"/>
    <x:xf numFmtId="203" fontId="8" fillId="3" borderId="0" xfId="0" applyNumberFormat="1" applyFont="1" applyFill="1" applyBorder="1"/>
    <x:xf numFmtId="204" fontId="8" fillId="3" borderId="0" xfId="0" applyNumberFormat="1" applyFont="1" applyFill="1" applyBorder="1"/>
    <x:xf numFmtId="205" fontId="8" fillId="3" borderId="0" xfId="0" applyNumberFormat="1" applyFont="1" applyFill="1" applyBorder="1"/>
    <x:xf numFmtId="0" fontId="8" fillId="3" borderId="1" xfId="0" applyNumberFormat="1" applyFont="1" applyFill="1" applyBorder="1"/>
    <x:xf numFmtId="200" fontId="8" fillId="3" borderId="1" xfId="0" applyNumberFormat="1" applyFont="1" applyFill="1" applyBorder="1"/>
    <x:xf numFmtId="202" fontId="8" fillId="3" borderId="1" xfId="0" applyNumberFormat="1" applyFont="1" applyFill="1" applyBorder="1"/>
    <x:xf numFmtId="201" fontId="8" fillId="3" borderId="1" xfId="0" applyNumberFormat="1" applyFont="1" applyFill="1" applyBorder="1"/>
    <x:xf numFmtId="203" fontId="8" fillId="3" borderId="1" xfId="0" applyNumberFormat="1" applyFont="1" applyFill="1" applyBorder="1"/>
    <x:xf numFmtId="204" fontId="8" fillId="3" borderId="1" xfId="0" applyNumberFormat="1" applyFont="1" applyFill="1" applyBorder="1"/>
    <x:xf numFmtId="205" fontId="8" fillId="3" borderId="1" xfId="0" applyNumberFormat="1" applyFont="1" applyFill="1" applyBorder="1"/>
    <x:xf numFmtId="0" fontId="4" fillId="4" borderId="0" xfId="0" applyNumberFormat="1" applyFont="1" applyFill="1" applyBorder="1"/>
    <x:xf numFmtId="200" fontId="5" fillId="4" borderId="0" xfId="0" applyNumberFormat="1" applyFont="1" applyFill="1" applyBorder="1"/>
    <x:xf numFmtId="202" fontId="5" fillId="4" borderId="0" xfId="0" applyNumberFormat="1" applyFont="1" applyFill="1" applyBorder="1"/>
    <x:xf numFmtId="201" fontId="5" fillId="4" borderId="0" xfId="0" applyNumberFormat="1" applyFont="1" applyFill="1" applyBorder="1"/>
    <x:xf numFmtId="203" fontId="5" fillId="4" borderId="0" xfId="0" applyNumberFormat="1" applyFont="1" applyFill="1" applyBorder="1"/>
    <x:xf numFmtId="204" fontId="5" fillId="4" borderId="0" xfId="0" applyNumberFormat="1" applyFont="1" applyFill="1" applyBorder="1"/>
    <x:xf numFmtId="205" fontId="5" fillId="4" borderId="0" xfId="0" applyNumberFormat="1" applyFont="1" applyFill="1" applyBorder="1"/>
    <x:xf numFmtId="0" fontId="4" fillId="4" borderId="1" xfId="0" applyNumberFormat="1" applyFont="1" applyFill="1" applyBorder="1"/>
    <x:xf numFmtId="200" fontId="5" fillId="4" borderId="1" xfId="0" applyNumberFormat="1" applyFont="1" applyFill="1" applyBorder="1"/>
    <x:xf numFmtId="202" fontId="5" fillId="4" borderId="1" xfId="0" applyNumberFormat="1" applyFont="1" applyFill="1" applyBorder="1"/>
    <x:xf numFmtId="201" fontId="5" fillId="4" borderId="1" xfId="0" applyNumberFormat="1" applyFont="1" applyFill="1" applyBorder="1"/>
    <x:xf numFmtId="203" fontId="5" fillId="4" borderId="1" xfId="0" applyNumberFormat="1" applyFont="1" applyFill="1" applyBorder="1"/>
    <x:xf numFmtId="204" fontId="5" fillId="4" borderId="1" xfId="0" applyNumberFormat="1" applyFont="1" applyFill="1" applyBorder="1"/>
    <x:xf numFmtId="205" fontId="5" fillId="4" borderId="1" xfId="0" applyNumberFormat="1" applyFont="1" applyFill="1" applyBorder="1"/>
    <x:xf numFmtId="206" fontId="5" fillId="0" borderId="0" xfId="0" applyNumberFormat="1" applyFont="1" applyFill="1" applyBorder="1"/>
    <x:xf numFmtId="206" fontId="7" fillId="0" borderId="0" xfId="0" applyNumberFormat="1" applyFont="1" applyFill="1" applyBorder="1"/>
    <x:xf numFmtId="206" fontId="5" fillId="0" borderId="1" xfId="0" applyNumberFormat="1" applyFont="1" applyFill="1" applyBorder="1"/>
    <x:xf numFmtId="206" fontId="7" fillId="0" borderId="1" xfId="0" applyNumberFormat="1" applyFont="1" applyFill="1" applyBorder="1"/>
    <x:xf numFmtId="206" fontId="5" fillId="4" borderId="0" xfId="0" applyNumberFormat="1" applyFont="1" applyFill="1" applyBorder="1"/>
    <x:xf numFmtId="206" fontId="5" fillId="4" borderId="1" xfId="0" applyNumberFormat="1" applyFont="1" applyFill="1" applyBorder="1"/>
    <x:xf numFmtId="0" fontId="9" fillId="4" borderId="0" xfId="0" applyNumberFormat="1" applyFont="1" applyFill="1" applyBorder="1"/>
    <x:xf numFmtId="200" fontId="9" fillId="4" borderId="0" xfId="0" applyNumberFormat="1" applyFont="1" applyFill="1" applyBorder="1"/>
    <x:xf numFmtId="202" fontId="9" fillId="4" borderId="0" xfId="0" applyNumberFormat="1" applyFont="1" applyFill="1" applyBorder="1"/>
    <x:xf numFmtId="206" fontId="9" fillId="4" borderId="0" xfId="0" applyNumberFormat="1" applyFont="1" applyFill="1" applyBorder="1"/>
    <x:xf numFmtId="0" fontId="9" fillId="4" borderId="1" xfId="0" applyNumberFormat="1" applyFont="1" applyFill="1" applyBorder="1"/>
    <x:xf numFmtId="200" fontId="9" fillId="4" borderId="1" xfId="0" applyNumberFormat="1" applyFont="1" applyFill="1" applyBorder="1"/>
    <x:xf numFmtId="202" fontId="9" fillId="4" borderId="1" xfId="0" applyNumberFormat="1" applyFont="1" applyFill="1" applyBorder="1"/>
    <x:xf numFmtId="206" fontId="9" fillId="4" borderId="1" xfId="0" applyNumberFormat="1" applyFont="1" applyFill="1" applyBorder="1"/>
    <x:xf numFmtId="0" fontId="10" fillId="0" borderId="0" xfId="0" applyNumberFormat="1" applyFont="1" applyFill="1" applyBorder="1"/>
    <x:xf numFmtId="0" fontId="10" fillId="0" borderId="1" xfId="0" applyNumberFormat="1" applyFont="1" applyFill="1" applyBorder="1"/>
    <x:xf numFmtId="0" fontId="10" fillId="5" borderId="0" xfId="0" applyNumberFormat="1" applyFont="1" applyFill="1" applyBorder="1"/>
    <x:xf numFmtId="0" fontId="11" fillId="5" borderId="0" xfId="0" applyNumberFormat="1" applyFont="1" applyFill="1" applyBorder="1"/>
    <x:xf numFmtId="0" fontId="11" fillId="5" borderId="0" xfId="0" applyNumberFormat="1" applyFont="1" applyFill="1" applyBorder="1" applyAlignment="1">
      <x:alignment vertical="center"/>
    </x:xf>
    <x:xf numFmtId="0" fontId="10" fillId="5" borderId="1" xfId="0" applyNumberFormat="1" applyFont="1" applyFill="1" applyBorder="1"/>
    <x:xf numFmtId="0" fontId="11" fillId="5" borderId="1" xfId="0" applyNumberFormat="1" applyFont="1" applyFill="1" applyBorder="1"/>
    <x:xf numFmtId="0" fontId="11" fillId="5" borderId="1" xfId="0" applyNumberFormat="1" applyFont="1" applyFill="1" applyBorder="1" applyAlignment="1">
      <x:alignment vertical="center"/>
    </x:xf>
    <x:xf numFmtId="0" fontId="4" fillId="6" borderId="0" xfId="0" applyNumberFormat="1" applyFont="1" applyFill="1" applyBorder="1"/>
    <x:xf numFmtId="204" fontId="5" fillId="6" borderId="0" xfId="0" applyNumberFormat="1" applyFont="1" applyFill="1" applyBorder="1"/>
    <x:xf numFmtId="201" fontId="5" fillId="6" borderId="0" xfId="0" applyNumberFormat="1" applyFont="1" applyFill="1" applyBorder="1"/>
    <x:xf numFmtId="0" fontId="4" fillId="6" borderId="1" xfId="0" applyNumberFormat="1" applyFont="1" applyFill="1" applyBorder="1"/>
    <x:xf numFmtId="204" fontId="5" fillId="6" borderId="1" xfId="0" applyNumberFormat="1" applyFont="1" applyFill="1" applyBorder="1"/>
    <x:xf numFmtId="201" fontId="5" fillId="6" borderId="1" xfId="0" applyNumberFormat="1" applyFont="1" applyFill="1" applyBorder="1"/>
    <x:xf numFmtId="0" fontId="4" fillId="7" borderId="0" xfId="0" applyNumberFormat="1" applyFont="1" applyFill="1" applyBorder="1"/>
    <x:xf numFmtId="204" fontId="5" fillId="7" borderId="0" xfId="0" applyNumberFormat="1" applyFont="1" applyFill="1" applyBorder="1"/>
    <x:xf numFmtId="201" fontId="5" fillId="7" borderId="0" xfId="0" applyNumberFormat="1" applyFont="1" applyFill="1" applyBorder="1"/>
    <x:xf numFmtId="0" fontId="4" fillId="7" borderId="1" xfId="0" applyNumberFormat="1" applyFont="1" applyFill="1" applyBorder="1"/>
    <x:xf numFmtId="204" fontId="5" fillId="7" borderId="1" xfId="0" applyNumberFormat="1" applyFont="1" applyFill="1" applyBorder="1"/>
    <x:xf numFmtId="201" fontId="5" fillId="7" borderId="1" xfId="0" applyNumberFormat="1" applyFont="1" applyFill="1" applyBorder="1"/>
    <x:xf numFmtId="207" fontId="4" fillId="0" borderId="0" xfId="0" applyNumberFormat="1" applyFont="1" applyFill="1" applyBorder="1"/>
    <x:xf numFmtId="207" fontId="4" fillId="0" borderId="1" xfId="0" applyNumberFormat="1" applyFont="1" applyFill="1" applyBorder="1"/>
    <x:xf numFmtId="208" fontId="5" fillId="0" borderId="0" xfId="0" applyNumberFormat="1" applyFont="1" applyFill="1" applyBorder="1"/>
    <x:xf numFmtId="208" fontId="5" fillId="0" borderId="1" xfId="0" applyNumberFormat="1" applyFont="1" applyFill="1" applyBorder="1"/>
    <x:xf numFmtId="209" fontId="8" fillId="3" borderId="0" xfId="0" applyNumberFormat="1" applyFont="1" applyFill="1" applyBorder="1"/>
    <x:xf numFmtId="209" fontId="5" fillId="4" borderId="0" xfId="0" applyNumberFormat="1" applyFont="1" applyFill="1" applyBorder="1"/>
    <x:xf numFmtId="209" fontId="5" fillId="0" borderId="0" xfId="0" applyNumberFormat="1" applyFont="1" applyFill="1" applyBorder="1"/>
    <x:xf numFmtId="209" fontId="8" fillId="3" borderId="1" xfId="0" applyNumberFormat="1" applyFont="1" applyFill="1" applyBorder="1"/>
    <x:xf numFmtId="209" fontId="5" fillId="4" borderId="1" xfId="0" applyNumberFormat="1" applyFont="1" applyFill="1" applyBorder="1"/>
    <x:xf numFmtId="209" fontId="5" fillId="0" borderId="1" xfId="0" applyNumberFormat="1" applyFont="1" applyFill="1" applyBorder="1"/>
    <x:xf numFmtId="209" fontId="7" fillId="0" borderId="0" xfId="0" applyNumberFormat="1" applyFont="1" applyFill="1" applyBorder="1"/>
    <x:xf numFmtId="209" fontId="7" fillId="0" borderId="1" xfId="0" applyNumberFormat="1" applyFont="1" applyFill="1" applyBorder="1"/>
    <x:xf numFmtId="209" fontId="5" fillId="6" borderId="0" xfId="0" applyNumberFormat="1" applyFont="1" applyFill="1" applyBorder="1"/>
    <x:xf numFmtId="209" fontId="5" fillId="7" borderId="0" xfId="0" applyNumberFormat="1" applyFont="1" applyFill="1" applyBorder="1"/>
    <x:xf numFmtId="209" fontId="5" fillId="6" borderId="1" xfId="0" applyNumberFormat="1" applyFont="1" applyFill="1" applyBorder="1"/>
    <x:xf numFmtId="209" fontId="5" fillId="7" borderId="1" xfId="0" applyNumberFormat="1" applyFont="1" applyFill="1" applyBorder="1"/>
    <x:xf numFmtId="210" fontId="5" fillId="0" borderId="0" xfId="0" applyNumberFormat="1" applyFont="1" applyFill="1" applyBorder="1"/>
    <x:xf numFmtId="0" fontId="0" fillId="0" borderId="0" xfId="0" applyNumberFormat="1" applyFont="1" applyFill="1" applyBorder="1"/>
    <x:xf numFmtId="0" fontId="2" fillId="0" borderId="0" xfId="0" applyNumberFormat="1" applyFont="1" applyFill="1" applyBorder="1"/>
    <x:xf numFmtId="0" fontId="1" fillId="0" borderId="0" xfId="0" applyNumberFormat="1" applyFont="1" applyFill="1" applyBorder="1"/>
    <x:xf numFmtId="0" fontId="3" fillId="0" borderId="0" xfId="0" applyNumberFormat="1" applyFont="1" applyFill="1" applyBorder="1"/>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vertical="center"/>
    </x:xf>
    <x:xf numFmtId="0" fontId="13" fillId="0" borderId="0" xfId="0" applyNumberFormat="1" applyFont="1" applyFill="1" applyBorder="1"/>
    <x:xf numFmtId="0" fontId="13" fillId="0" borderId="0" xfId="0" applyNumberFormat="1" applyFont="1" applyFill="1" applyBorder="1" applyAlignment="1">
      <x:alignment vertical="center"/>
    </x:xf>
    <x:xf numFmtId="0" fontId="0" fillId="9" borderId="0" xfId="0" applyNumberFormat="1" applyFont="1" applyFill="1" applyBorder="1"/>
    <x:xf numFmtId="0" fontId="14" fillId="9" borderId="0" xfId="0" applyNumberFormat="1" applyFont="1" applyFill="1" applyBorder="1"/>
    <x:xf numFmtId="0" fontId="14" fillId="9" borderId="0" xfId="0" applyNumberFormat="1" applyFont="1" applyFill="1" applyBorder="1" applyAlignment="1">
      <x:alignment wrapText="1"/>
    </x:xf>
    <x:xf numFmtId="0" fontId="14" fillId="9" borderId="0" xfId="0" applyNumberFormat="1" applyFont="1" applyFill="1" applyBorder="1" applyAlignment="1">
      <x:alignment vertical="center" wrapText="1"/>
    </x:xf>
    <x:xf numFmtId="0" fontId="15" fillId="8" borderId="0" xfId="0" applyNumberFormat="1" applyFont="1" applyFill="1" applyBorder="1"/>
    <x:xf numFmtId="0" fontId="0" fillId="10" borderId="0" xfId="0" applyNumberFormat="1" applyFont="1" applyFill="1" applyBorder="1"/>
    <x:xf numFmtId="0" fontId="16" fillId="10" borderId="0" xfId="0" applyNumberFormat="1" applyFont="1" applyFill="1" applyBorder="1"/>
    <x:xf numFmtId="0" fontId="16" fillId="10" borderId="0" xfId="0" applyNumberFormat="1" applyFont="1" applyFill="1" applyBorder="1" applyAlignment="1">
      <x:alignment wrapText="1"/>
    </x:xf>
    <x:xf numFmtId="0" fontId="16" fillId="10" borderId="0" xfId="0" applyNumberFormat="1" applyFont="1" applyFill="1" applyBorder="1" applyAlignment="1">
      <x:alignment horizontal="center" wrapText="1"/>
    </x:xf>
    <x:xf numFmtId="0" fontId="16" fillId="10" borderId="0" xfId="0" applyNumberFormat="1" applyFont="1" applyFill="1" applyBorder="1" applyAlignment="1">
      <x:alignment horizontal="center" vertical="center" wrapText="1"/>
    </x:xf>
    <x:xf numFmtId="0" fontId="17" fillId="0" borderId="0" xfId="0" applyNumberFormat="1" applyFont="1" applyFill="1" applyBorder="1"/>
    <x:xf numFmtId="200" fontId="17" fillId="0" borderId="0" xfId="0" applyNumberFormat="1" applyFont="1" applyFill="1" applyBorder="1"/>
    <x:xf numFmtId="200" fontId="17" fillId="0" borderId="0" xfId="0" applyNumberFormat="1" applyFont="1" applyFill="1" applyBorder="1" applyAlignment="1">
      <x:alignment horizontal="center"/>
    </x:xf>
    <x:xf numFmtId="200" fontId="17" fillId="0" borderId="0" xfId="0" applyNumberFormat="1" applyFont="1" applyFill="1" applyBorder="1" applyAlignment="1">
      <x:alignment horizontal="center" vertical="center"/>
    </x:xf>
    <x:xf numFmtId="202" fontId="17" fillId="0" borderId="0" xfId="0" applyNumberFormat="1" applyFont="1" applyFill="1" applyBorder="1"/>
    <x:xf numFmtId="202" fontId="17" fillId="0" borderId="0" xfId="0" applyNumberFormat="1" applyFont="1" applyFill="1" applyBorder="1" applyAlignment="1">
      <x:alignment horizontal="center"/>
    </x:xf>
    <x:xf numFmtId="202" fontId="17" fillId="0" borderId="0" xfId="0" applyNumberFormat="1" applyFont="1" applyFill="1" applyBorder="1" applyAlignment="1">
      <x:alignment horizontal="center" vertical="center"/>
    </x:xf>
    <x:xf numFmtId="211" fontId="17" fillId="0" borderId="0" xfId="0" applyNumberFormat="1" applyFont="1" applyFill="1" applyBorder="1"/>
    <x:xf numFmtId="211" fontId="17" fillId="0" borderId="0" xfId="0" applyNumberFormat="1" applyFont="1" applyFill="1" applyBorder="1" applyAlignment="1">
      <x:alignment horizontal="center"/>
    </x:xf>
    <x:xf numFmtId="211" fontId="17" fillId="0" borderId="0" xfId="0" applyNumberFormat="1" applyFont="1" applyFill="1" applyBorder="1" applyAlignment="1">
      <x:alignment horizontal="center" vertical="center"/>
    </x:xf>
    <x:xf numFmtId="0" fontId="0" fillId="11" borderId="0" xfId="0" applyNumberFormat="1" applyFont="1" applyFill="1" applyBorder="1"/>
    <x:xf numFmtId="0" fontId="18" fillId="11" borderId="0" xfId="0" applyNumberFormat="1" applyFont="1" applyFill="1" applyBorder="1"/>
    <x:xf numFmtId="0" fontId="18" fillId="11" borderId="0" xfId="0" applyNumberFormat="1" applyFont="1" applyFill="1" applyBorder="1" applyAlignment="1">
      <x:alignment wrapText="1"/>
    </x:xf>
    <x:xf numFmtId="0" fontId="18" fillId="11" borderId="0" xfId="0" applyNumberFormat="1" applyFont="1" applyFill="1" applyBorder="1" applyAlignment="1">
      <x:alignment horizontal="center" wrapText="1"/>
    </x:xf>
    <x:xf numFmtId="200" fontId="0" fillId="0" borderId="0" xfId="0" applyNumberFormat="1" applyFont="1" applyFill="1" applyBorder="1"/>
    <x:xf numFmtId="202" fontId="0" fillId="0" borderId="0" xfId="0" applyNumberFormat="1" applyFont="1" applyFill="1" applyBorder="1"/>
    <x:xf numFmtId="211" fontId="0" fillId="0" borderId="0" xfId="0" applyNumberFormat="1" applyFont="1" applyFill="1" applyBorder="1"/>
    <x:xf numFmtId="204" fontId="0" fillId="0" borderId="0" xfId="0" applyNumberFormat="1" applyFont="1" applyFill="1" applyBorder="1"/>
    <x:xf numFmtId="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x:xf>
    <x:xf numFmtId="202" fontId="0" fillId="0" borderId="0" xfId="0" applyNumberFormat="1" applyFont="1" applyFill="1" applyBorder="1" applyAlignment="1">
      <x:alignment horizontal="center"/>
    </x:xf>
    <x:xf numFmtId="211" fontId="0" fillId="0" borderId="0" xfId="0" applyNumberFormat="1" applyFont="1" applyFill="1" applyBorder="1" applyAlignment="1">
      <x:alignment horizontal="center"/>
    </x:xf>
    <x:xf numFmtId="204" fontId="0" fillId="0" borderId="0" xfId="0" applyNumberFormat="1" applyFont="1" applyFill="1" applyBorder="1" applyAlignment="1">
      <x:alignment horizontal="center"/>
    </x:xf>
    <x:xf numFmtId="0" fontId="0" fillId="9" borderId="0" xfId="0" applyNumberFormat="1" applyFont="1" applyFill="1" applyBorder="1" applyAlignment="1">
      <x:alignment horizontal="center"/>
    </x:xf>
    <x:xf numFmtId="200" fontId="0" fillId="9" borderId="0" xfId="0" applyNumberFormat="1" applyFont="1" applyFill="1" applyBorder="1" applyAlignment="1">
      <x:alignment horizontal="center"/>
    </x:xf>
    <x:xf numFmtId="202" fontId="0" fillId="9" borderId="0" xfId="0" applyNumberFormat="1" applyFont="1" applyFill="1" applyBorder="1" applyAlignment="1">
      <x:alignment horizontal="center"/>
    </x:xf>
    <x:xf numFmtId="211" fontId="0" fillId="9" borderId="0" xfId="0" applyNumberFormat="1" applyFont="1" applyFill="1" applyBorder="1" applyAlignment="1">
      <x:alignment horizontal="center"/>
    </x:xf>
    <x:xf numFmtId="204" fontId="0" fillId="9" borderId="0" xfId="0" applyNumberFormat="1" applyFont="1" applyFill="1" applyBorder="1" applyAlignment="1">
      <x:alignment horizontal="center"/>
    </x:xf>
    <x:xf numFmtId="0" fontId="19" fillId="9" borderId="0" xfId="0" applyNumberFormat="1" applyFont="1" applyFill="1" applyBorder="1" applyAlignment="1">
      <x:alignment horizontal="center"/>
    </x:xf>
    <x:xf numFmtId="200" fontId="19" fillId="9" borderId="0" xfId="0" applyNumberFormat="1" applyFont="1" applyFill="1" applyBorder="1" applyAlignment="1">
      <x:alignment horizontal="center"/>
    </x:xf>
    <x:xf numFmtId="202" fontId="19" fillId="9" borderId="0" xfId="0" applyNumberFormat="1" applyFont="1" applyFill="1" applyBorder="1" applyAlignment="1">
      <x:alignment horizontal="center"/>
    </x:xf>
    <x:xf numFmtId="211" fontId="19" fillId="9" borderId="0" xfId="0" applyNumberFormat="1" applyFont="1" applyFill="1" applyBorder="1" applyAlignment="1">
      <x:alignment horizontal="center"/>
    </x:xf>
    <x:xf numFmtId="204" fontId="19" fillId="9" borderId="0" xfId="0" applyNumberFormat="1" applyFont="1" applyFill="1" applyBorder="1" applyAlignment="1">
      <x:alignment horizontal="center"/>
    </x:xf>
    <x:xf numFmtId="0" fontId="0" fillId="12" borderId="0" xfId="0" applyNumberFormat="1" applyFont="1" applyFill="1" applyBorder="1"/>
    <x:xf numFmtId="0" fontId="20" fillId="12" borderId="0" xfId="0" applyNumberFormat="1" applyFont="1" applyFill="1" applyBorder="1"/>
    <x:xf numFmtId="0" fontId="20" fillId="12" borderId="0" xfId="0" applyNumberFormat="1" applyFont="1" applyFill="1" applyBorder="1" applyAlignment="1">
      <x:alignment wrapText="1"/>
    </x:xf>
    <x:xf numFmtId="0" fontId="20" fillId="12" borderId="0" xfId="0" applyNumberFormat="1" applyFont="1" applyFill="1" applyBorder="1" applyAlignment="1">
      <x:alignment vertical="center" wrapText="1"/>
    </x:xf>
    <x:xf numFmtId="209" fontId="0" fillId="0" borderId="0" xfId="0" applyNumberFormat="1" applyFont="1" applyFill="1" applyBorder="1"/>
    <x:xf numFmtId="212" fontId="0" fillId="0" borderId="0" xfId="0" applyNumberFormat="1" applyFont="1" applyFill="1" applyBorder="1"/>
    <x:xf numFmtId="209" fontId="0" fillId="0" borderId="0" xfId="0" applyNumberFormat="1" applyFont="1" applyFill="1" applyBorder="1" applyAlignment="1">
      <x:alignment horizontal="center"/>
    </x:xf>
    <x:xf numFmtId="212" fontId="0" fillId="0" borderId="0" xfId="0" applyNumberFormat="1" applyFont="1" applyFill="1" applyBorder="1" applyAlignment="1">
      <x:alignment horizontal="center"/>
    </x:xf>
    <x:xf numFmtId="0" fontId="0" fillId="12" borderId="0" xfId="0" applyNumberFormat="1" applyFont="1" applyFill="1" applyBorder="1" applyAlignment="1">
      <x:alignment horizontal="center"/>
    </x:xf>
    <x:xf numFmtId="204" fontId="0" fillId="12" borderId="0" xfId="0" applyNumberFormat="1" applyFont="1" applyFill="1" applyBorder="1" applyAlignment="1">
      <x:alignment horizontal="center"/>
    </x:xf>
    <x:xf numFmtId="209" fontId="0" fillId="12" borderId="0" xfId="0" applyNumberFormat="1" applyFont="1" applyFill="1" applyBorder="1" applyAlignment="1">
      <x:alignment horizontal="center"/>
    </x:xf>
    <x:xf numFmtId="0" fontId="0" fillId="13" borderId="0" xfId="0" applyNumberFormat="1" applyFont="1" applyFill="1" applyBorder="1" applyAlignment="1">
      <x:alignment horizontal="center"/>
    </x:xf>
    <x:xf numFmtId="204" fontId="0" fillId="13" borderId="0" xfId="0" applyNumberFormat="1" applyFont="1" applyFill="1" applyBorder="1" applyAlignment="1">
      <x:alignment horizontal="center"/>
    </x:xf>
    <x:xf numFmtId="209" fontId="0" fillId="13" borderId="0" xfId="0" applyNumberFormat="1" applyFont="1" applyFill="1" applyBorder="1" applyAlignment="1">
      <x:alignment horizontal="center"/>
    </x:xf>
    <x:xf numFmtId="212" fontId="0" fillId="13" borderId="0" xfId="0" applyNumberFormat="1" applyFont="1" applyFill="1" applyBorder="1" applyAlignment="1">
      <x:alignment horizontal="center"/>
    </x:xf>
    <x:xf numFmtId="0" fontId="19" fillId="9" borderId="0" xfId="0" applyNumberFormat="1" applyFont="1" applyFill="1" applyBorder="1"/>
    <x:xf numFmtId="0" fontId="0" fillId="14" borderId="0" xfId="0" applyNumberFormat="1" applyFont="1" applyFill="1" applyBorder="1"/>
    <x:xf numFmtId="0" fontId="21" fillId="14" borderId="0" xfId="0" applyNumberFormat="1" applyFont="1" applyFill="1" applyBorder="1"/>
    <x:xf numFmtId="0" fontId="21" fillId="14" borderId="0" xfId="0" applyNumberFormat="1" applyFont="1" applyFill="1" applyBorder="1" applyAlignment="1">
      <x:alignment wrapText="1"/>
    </x:xf>
    <x:xf numFmtId="0" fontId="21" fillId="14" borderId="0" xfId="0" applyNumberFormat="1" applyFont="1" applyFill="1" applyBorder="1" applyAlignment="1">
      <x:alignment vertical="center" wrapText="1"/>
    </x:xf>
    <x:xf numFmtId="0" fontId="0" fillId="13" borderId="0" xfId="0" applyNumberFormat="1" applyFont="1" applyFill="1" applyBorder="1"/>
    <x:xf numFmtId="0" fontId="22" fillId="13" borderId="0" xfId="0" applyNumberFormat="1" applyFont="1" applyFill="1" applyBorder="1"/>
    <x:xf numFmtId="0" fontId="22" fillId="13" borderId="0" xfId="0" applyNumberFormat="1" applyFont="1" applyFill="1" applyBorder="1" applyAlignment="1">
      <x:alignment wrapText="1"/>
    </x:xf>
    <x:xf numFmtId="0" fontId="22" fillId="13" borderId="0" xfId="0" applyNumberFormat="1" applyFont="1" applyFill="1" applyBorder="1" applyAlignment="1">
      <x:alignment vertical="center" wrapText="1"/>
    </x:xf>
    <x:xf numFmtId="0" fontId="23" fillId="0" borderId="0" xfId="0" applyNumberFormat="1" applyFont="1" applyFill="1" applyBorder="1"/>
    <x:xf numFmtId="0" fontId="0" fillId="2" borderId="0" xfId="0" applyNumberFormat="1" applyFont="1" applyFill="1" applyBorder="1"/>
    <x:xf numFmtId="0" fontId="12" fillId="2" borderId="0" xfId="0" applyNumberFormat="1" applyFont="1" applyFill="1" applyBorder="1"/>
    <x:xf numFmtId="0" fontId="12" fillId="2" borderId="0" xfId="0" applyNumberFormat="1" applyFont="1" applyFill="1" applyBorder="1" applyAlignment="1">
      <x:alignment vertical="center"/>
    </x:xf>
    <x:xf numFmtId="0" fontId="0" fillId="3" borderId="0" xfId="0" applyNumberFormat="1" applyFont="1" applyFill="1" applyBorder="1"/>
    <x:xf numFmtId="0" fontId="14" fillId="3" borderId="0" xfId="0" applyNumberFormat="1" applyFont="1" applyFill="1" applyBorder="1"/>
    <x:xf numFmtId="0" fontId="14" fillId="3" borderId="0" xfId="0" applyNumberFormat="1" applyFont="1" applyFill="1" applyBorder="1" applyAlignment="1">
      <x:alignment wrapText="1"/>
    </x:xf>
    <x:xf numFmtId="0" fontId="14" fillId="3" borderId="0" xfId="0" applyNumberFormat="1" applyFont="1" applyFill="1" applyBorder="1" applyAlignment="1">
      <x:alignment vertical="center" wrapText="1"/>
    </x:xf>
    <x:xf numFmtId="0" fontId="15" fillId="2" borderId="0" xfId="0" applyNumberFormat="1" applyFont="1" applyFill="1" applyBorder="1"/>
    <x:xf numFmtId="0" fontId="0" fillId="4" borderId="0" xfId="0" applyNumberFormat="1" applyFont="1" applyFill="1" applyBorder="1"/>
    <x:xf numFmtId="0" fontId="16" fillId="4" borderId="0" xfId="0" applyNumberFormat="1" applyFont="1" applyFill="1" applyBorder="1"/>
    <x:xf numFmtId="0" fontId="16" fillId="4" borderId="0" xfId="0" applyNumberFormat="1" applyFont="1" applyFill="1" applyBorder="1" applyAlignment="1">
      <x:alignment wrapText="1"/>
    </x:xf>
    <x:xf numFmtId="0" fontId="16" fillId="4" borderId="0" xfId="0" applyNumberFormat="1" applyFont="1" applyFill="1" applyBorder="1" applyAlignment="1">
      <x:alignment horizontal="center" wrapText="1"/>
    </x:xf>
    <x:xf numFmtId="0" fontId="16" fillId="4" borderId="0" xfId="0" applyNumberFormat="1" applyFont="1" applyFill="1" applyBorder="1" applyAlignment="1">
      <x:alignment horizontal="center" vertical="center" wrapText="1"/>
    </x:xf>
    <x:xf numFmtId="0" fontId="0" fillId="3" borderId="0" xfId="0" applyNumberFormat="1" applyFont="1" applyFill="1" applyBorder="1" applyAlignment="1">
      <x:alignment horizontal="center"/>
    </x:xf>
    <x:xf numFmtId="200" fontId="0" fillId="3" borderId="0" xfId="0" applyNumberFormat="1" applyFont="1" applyFill="1" applyBorder="1" applyAlignment="1">
      <x:alignment horizontal="center"/>
    </x:xf>
    <x:xf numFmtId="202" fontId="0" fillId="3" borderId="0" xfId="0" applyNumberFormat="1" applyFont="1" applyFill="1" applyBorder="1" applyAlignment="1">
      <x:alignment horizontal="center"/>
    </x:xf>
    <x:xf numFmtId="211" fontId="0" fillId="3" borderId="0" xfId="0" applyNumberFormat="1" applyFont="1" applyFill="1" applyBorder="1" applyAlignment="1">
      <x:alignment horizontal="center"/>
    </x:xf>
    <x:xf numFmtId="204" fontId="0" fillId="3" borderId="0" xfId="0" applyNumberFormat="1" applyFont="1" applyFill="1" applyBorder="1" applyAlignment="1">
      <x:alignment horizontal="center"/>
    </x:xf>
    <x:xf numFmtId="0" fontId="19" fillId="3" borderId="0" xfId="0" applyNumberFormat="1" applyFont="1" applyFill="1" applyBorder="1" applyAlignment="1">
      <x:alignment horizontal="center"/>
    </x:xf>
    <x:xf numFmtId="200" fontId="19" fillId="3" borderId="0" xfId="0" applyNumberFormat="1" applyFont="1" applyFill="1" applyBorder="1" applyAlignment="1">
      <x:alignment horizontal="center"/>
    </x:xf>
    <x:xf numFmtId="202" fontId="19" fillId="3" borderId="0" xfId="0" applyNumberFormat="1" applyFont="1" applyFill="1" applyBorder="1" applyAlignment="1">
      <x:alignment horizontal="center"/>
    </x:xf>
    <x:xf numFmtId="211" fontId="19" fillId="3" borderId="0" xfId="0" applyNumberFormat="1" applyFont="1" applyFill="1" applyBorder="1" applyAlignment="1">
      <x:alignment horizontal="center"/>
    </x:xf>
    <x:xf numFmtId="204" fontId="19" fillId="3" borderId="0" xfId="0" applyNumberFormat="1" applyFont="1" applyFill="1" applyBorder="1" applyAlignment="1">
      <x:alignment horizontal="center"/>
    </x:xf>
    <x:xf numFmtId="0" fontId="0" fillId="6" borderId="0" xfId="0" applyNumberFormat="1" applyFont="1" applyFill="1" applyBorder="1"/>
    <x:xf numFmtId="0" fontId="20" fillId="6" borderId="0" xfId="0" applyNumberFormat="1" applyFont="1" applyFill="1" applyBorder="1"/>
    <x:xf numFmtId="0" fontId="20" fillId="6" borderId="0" xfId="0" applyNumberFormat="1" applyFont="1" applyFill="1" applyBorder="1" applyAlignment="1">
      <x:alignment wrapText="1"/>
    </x:xf>
    <x:xf numFmtId="0" fontId="20" fillId="6" borderId="0" xfId="0" applyNumberFormat="1" applyFont="1" applyFill="1" applyBorder="1" applyAlignment="1">
      <x:alignment vertical="center" wrapText="1"/>
    </x:xf>
    <x:xf numFmtId="0" fontId="0" fillId="6" borderId="0" xfId="0" applyNumberFormat="1" applyFont="1" applyFill="1" applyBorder="1" applyAlignment="1">
      <x:alignment horizontal="center"/>
    </x:xf>
    <x:xf numFmtId="204" fontId="0" fillId="6" borderId="0" xfId="0" applyNumberFormat="1" applyFont="1" applyFill="1" applyBorder="1" applyAlignment="1">
      <x:alignment horizontal="center"/>
    </x:xf>
    <x:xf numFmtId="209" fontId="0" fillId="6" borderId="0" xfId="0" applyNumberFormat="1" applyFont="1" applyFill="1" applyBorder="1" applyAlignment="1">
      <x:alignment horizontal="center"/>
    </x:xf>
    <x:xf numFmtId="0" fontId="0" fillId="7" borderId="0" xfId="0" applyNumberFormat="1" applyFont="1" applyFill="1" applyBorder="1" applyAlignment="1">
      <x:alignment horizontal="center"/>
    </x:xf>
    <x:xf numFmtId="204" fontId="0" fillId="7" borderId="0" xfId="0" applyNumberFormat="1" applyFont="1" applyFill="1" applyBorder="1" applyAlignment="1">
      <x:alignment horizontal="center"/>
    </x:xf>
    <x:xf numFmtId="209" fontId="0" fillId="7" borderId="0" xfId="0" applyNumberFormat="1" applyFont="1" applyFill="1" applyBorder="1" applyAlignment="1">
      <x:alignment horizontal="center"/>
    </x:xf>
    <x:xf numFmtId="212" fontId="0" fillId="7" borderId="0" xfId="0" applyNumberFormat="1" applyFont="1" applyFill="1" applyBorder="1" applyAlignment="1">
      <x:alignment horizontal="center"/>
    </x:xf>
    <x:xf numFmtId="0" fontId="19" fillId="3" borderId="0" xfId="0" applyNumberFormat="1" applyFont="1" applyFill="1" applyBorder="1"/>
    <x:xf numFmtId="0" fontId="0" fillId="7" borderId="0" xfId="0" applyNumberFormat="1" applyFont="1" applyFill="1" applyBorder="1"/>
    <x:xf numFmtId="0" fontId="22" fillId="7" borderId="0" xfId="0" applyNumberFormat="1" applyFont="1" applyFill="1" applyBorder="1"/>
    <x:xf numFmtId="0" fontId="22" fillId="7" borderId="0" xfId="0" applyNumberFormat="1" applyFont="1" applyFill="1" applyBorder="1" applyAlignment="1">
      <x:alignment wrapText="1"/>
    </x:xf>
    <x:xf numFmtId="0" fontId="22" fillId="7" borderId="0" xfId="0" applyNumberFormat="1" applyFont="1" applyFill="1" applyBorder="1" applyAlignment="1">
      <x:alignment vertical="center" wrapText="1"/>
    </x:xf>
    <x:xf numFmtId="0" fontId="0" fillId="15" borderId="0" xfId="0" applyNumberFormat="1" applyFont="1" applyFill="1" applyBorder="1"/>
    <x:xf numFmtId="0" fontId="12" fillId="15" borderId="0" xfId="0" applyNumberFormat="1" applyFont="1" applyFill="1" applyBorder="1"/>
    <x:xf numFmtId="0" fontId="12" fillId="15" borderId="0" xfId="0" applyNumberFormat="1" applyFont="1" applyFill="1" applyBorder="1" applyAlignment="1">
      <x:alignment vertical="center"/>
    </x:xf>
    <x:xf numFmtId="0" fontId="0" fillId="16" borderId="0" xfId="0" applyNumberFormat="1" applyFont="1" applyFill="1" applyBorder="1"/>
    <x:xf numFmtId="0" fontId="24" fillId="16" borderId="0" xfId="0" applyNumberFormat="1" applyFont="1" applyFill="1" applyBorder="1"/>
    <x:xf numFmtId="0" fontId="24" fillId="16" borderId="0" xfId="0" applyNumberFormat="1" applyFont="1" applyFill="1" applyBorder="1" applyAlignment="1">
      <x:alignment vertical="center"/>
    </x:xf>
    <x:xf numFmtId="0" fontId="10" fillId="0" borderId="0" xfId="0" applyNumberFormat="1" applyFont="1" applyFill="1" applyBorder="1" applyAlignment="1">
      <x:alignment wrapText="1"/>
    </x:xf>
    <x:xf numFmtId="0" fontId="10" fillId="0" borderId="0" xfId="0" applyNumberFormat="1" applyFont="1" applyFill="1" applyBorder="1" applyAlignment="1">
      <x:alignment vertical="center" wrapText="1"/>
    </x:xf>
    <x:xf numFmtId="0" fontId="0" fillId="17" borderId="0" xfId="0" applyNumberFormat="1" applyFont="1" applyFill="1" applyBorder="1"/>
    <x:xf numFmtId="0" fontId="25" fillId="17" borderId="0" xfId="0" applyNumberFormat="1" applyFont="1" applyFill="1" applyBorder="1"/>
    <x:xf numFmtId="0" fontId="25" fillId="17" borderId="0" xfId="0" applyNumberFormat="1" applyFont="1" applyFill="1" applyBorder="1" applyAlignment="1">
      <x:alignment wrapText="1"/>
    </x:xf>
    <x:xf numFmtId="0" fontId="25" fillId="17" borderId="0" xfId="0" applyNumberFormat="1" applyFont="1" applyFill="1" applyBorder="1" applyAlignment="1">
      <x:alignment vertical="center" wrapText="1"/>
    </x:xf>
    <x:xf numFmtId="0" fontId="18" fillId="15" borderId="0" xfId="0" applyNumberFormat="1" applyFont="1" applyFill="1" applyBorder="1"/>
    <x:xf numFmtId="0" fontId="18" fillId="15" borderId="0" xfId="0" applyNumberFormat="1" applyFont="1" applyFill="1" applyBorder="1" applyAlignment="1">
      <x:alignment wrapText="1"/>
    </x:xf>
    <x:xf numFmtId="0" fontId="18" fillId="15" borderId="0" xfId="0" applyNumberFormat="1" applyFont="1" applyFill="1" applyBorder="1" applyAlignment="1">
      <x:alignment horizontal="center" wrapText="1"/>
    </x:xf>
    <x:xf numFmtId="0" fontId="18" fillId="15" borderId="0" xfId="0" applyNumberFormat="1" applyFont="1" applyFill="1" applyBorder="1" applyAlignment="1">
      <x:alignment horizontal="center" vertical="center" wrapText="1"/>
    </x:xf>
    <x:xf numFmtId="0" fontId="0" fillId="18" borderId="0" xfId="0" applyNumberFormat="1" applyFont="1" applyFill="1" applyBorder="1"/>
    <x:xf numFmtId="0" fontId="20" fillId="18" borderId="0" xfId="0" applyNumberFormat="1" applyFont="1" applyFill="1" applyBorder="1"/>
    <x:xf numFmtId="0" fontId="20" fillId="18" borderId="0" xfId="0" applyNumberFormat="1" applyFont="1" applyFill="1" applyBorder="1" applyAlignment="1">
      <x:alignment wrapText="1"/>
    </x:xf>
    <x:xf numFmtId="0" fontId="20" fillId="18" borderId="0" xfId="0" applyNumberFormat="1" applyFont="1" applyFill="1" applyBorder="1" applyAlignment="1">
      <x:alignment vertical="center" wrapText="1"/>
    </x:xf>
    <x:xf numFmtId="0" fontId="26" fillId="18" borderId="0" xfId="0" applyNumberFormat="1" applyFont="1" applyFill="1" applyBorder="1" applyAlignment="1">
      <x:alignment vertical="center" wrapText="1"/>
    </x:xf>
    <x:xf numFmtId="0" fontId="0" fillId="19" borderId="0" xfId="0" applyNumberFormat="1" applyFont="1" applyFill="1" applyBorder="1"/>
    <x:xf numFmtId="0" fontId="20" fillId="19" borderId="0" xfId="0" applyNumberFormat="1" applyFont="1" applyFill="1" applyBorder="1"/>
    <x:xf numFmtId="0" fontId="20" fillId="19" borderId="0" xfId="0" applyNumberFormat="1" applyFont="1" applyFill="1" applyBorder="1" applyAlignment="1">
      <x:alignment wrapText="1"/>
    </x:xf>
    <x:xf numFmtId="0" fontId="20" fillId="19" borderId="0" xfId="0" applyNumberFormat="1" applyFont="1" applyFill="1" applyBorder="1" applyAlignment="1">
      <x:alignment vertical="center" wrapText="1"/>
    </x:xf>
    <x:xf numFmtId="0" fontId="26" fillId="19" borderId="0" xfId="0" applyNumberFormat="1" applyFont="1" applyFill="1" applyBorder="1" applyAlignment="1">
      <x:alignment vertical="center" wrapText="1"/>
    </x:xf>
    <x:xf numFmtId="0" fontId="0" fillId="20" borderId="0" xfId="0" applyNumberFormat="1" applyFont="1" applyFill="1" applyBorder="1"/>
    <x:xf numFmtId="0" fontId="20" fillId="20" borderId="0" xfId="0" applyNumberFormat="1" applyFont="1" applyFill="1" applyBorder="1"/>
    <x:xf numFmtId="0" fontId="20" fillId="20" borderId="0" xfId="0" applyNumberFormat="1" applyFont="1" applyFill="1" applyBorder="1" applyAlignment="1">
      <x:alignment wrapText="1"/>
    </x:xf>
    <x:xf numFmtId="0" fontId="20" fillId="20" borderId="0" xfId="0" applyNumberFormat="1" applyFont="1" applyFill="1" applyBorder="1" applyAlignment="1">
      <x:alignment vertical="center" wrapText="1"/>
    </x:xf>
    <x:xf numFmtId="0" fontId="26" fillId="20" borderId="0" xfId="0" applyNumberFormat="1" applyFont="1" applyFill="1" applyBorder="1" applyAlignment="1">
      <x:alignment vertical="center" wrapText="1"/>
    </x:xf>
    <x:xf numFmtId="0" fontId="0" fillId="21" borderId="0" xfId="0" applyNumberFormat="1" applyFont="1" applyFill="1" applyBorder="1"/>
    <x:xf numFmtId="0" fontId="27" fillId="21" borderId="0" xfId="0" applyNumberFormat="1" applyFont="1" applyFill="1" applyBorder="1"/>
    <x:xf numFmtId="0" fontId="27" fillId="21" borderId="0" xfId="0" applyNumberFormat="1" applyFont="1" applyFill="1" applyBorder="1" applyAlignment="1">
      <x:alignment wrapText="1"/>
    </x:xf>
    <x:xf numFmtId="0" fontId="27" fillId="21" borderId="0" xfId="0" applyNumberFormat="1" applyFont="1" applyFill="1" applyBorder="1" applyAlignment="1">
      <x:alignment vertical="center" wrapText="1"/>
    </x:xf>
    <x:xf numFmtId="0" fontId="28" fillId="20" borderId="0" xfId="0" applyNumberFormat="1" applyFont="1" applyFill="1" applyBorder="1"/>
    <x:xf numFmtId="0" fontId="28" fillId="20" borderId="0" xfId="0" applyNumberFormat="1" applyFont="1" applyFill="1" applyBorder="1" applyAlignment="1">
      <x:alignment wrapText="1"/>
    </x:xf>
    <x:xf numFmtId="0" fontId="28" fillId="20" borderId="0" xfId="0" applyNumberFormat="1" applyFont="1" applyFill="1" applyBorder="1" applyAlignment="1">
      <x:alignment vertical="center" wrapText="1"/>
    </x:xf>
  </x:cellXfs>
  <x:cellStyles count="1">
    <x:cellStyle name="Normal" xfId="0"/>
  </x:cellStyles>
  <x:dxfs count="71">
    <x:dxf>
      <x:font>
        <x:b/>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b/>
        <x:u val="none"/>
        <x:sz val="10"/>
        <x:color rgb="FF000000"/>
        <x:name val="Helvetica Neue"/>
        <x:family val="2"/>
        <x:scheme val="none"/>
      </x:font>
    </x:dxf>
    <x:dxf>
      <x:font>
        <x:b/>
        <x:u val="none"/>
        <x:sz val="10"/>
        <x:color rgb="FF000000"/>
        <x:name val="Helvetica Neue"/>
        <x:family val="2"/>
        <x:scheme val="none"/>
      </x:font>
    </x:dxf>
    <x:dxf>
      <x:font>
        <x:u val="none"/>
        <x:sz val="10"/>
        <x:color rgb="FF000000"/>
        <x:name val="Helvetica Neue"/>
        <x:family val="2"/>
        <x:scheme val="none"/>
      </x:font>
    </x:dxf>
    <x:dxf>
      <x:font>
        <x:b/>
        <x:u val="none"/>
        <x:sz val="10"/>
        <x:color rgb="FF000000"/>
        <x:name val="Helvetica Neue"/>
        <x:family val="2"/>
        <x:scheme val="none"/>
      </x:font>
    </x:dxf>
    <x:dxf>
      <x:font>
        <x:b/>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b/>
        <x:u val="none"/>
        <x:sz val="10"/>
        <x:color rgb="FF000000"/>
        <x:name val="Helvetica Neue"/>
        <x:family val="2"/>
        <x:scheme val="none"/>
      </x:font>
    </x:dxf>
    <x:dxf>
      <x:font>
        <x:b/>
        <x:u val="none"/>
        <x:sz val="10"/>
        <x:color rgb="FF000000"/>
        <x:name val="Helvetica Neue"/>
        <x:family val="2"/>
        <x:scheme val="none"/>
      </x:font>
    </x:dxf>
    <x:dxf>
      <x:font>
        <x:u val="none"/>
        <x:sz val="10"/>
        <x:color rgb="FF000000"/>
        <x:name val="Helvetica Neue"/>
        <x:family val="2"/>
        <x:scheme val="none"/>
      </x:font>
    </x:dxf>
    <x:dxf>
      <x:font>
        <x:b/>
        <x:u val="none"/>
        <x:sz val="10"/>
        <x:color rgb="FF000000"/>
        <x:name val="Helvetica Neue"/>
        <x:family val="2"/>
        <x:scheme val="none"/>
      </x:font>
    </x:dxf>
    <x:dxf>
      <x:font>
        <x:b/>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b/>
        <x:u val="none"/>
        <x:sz val="10"/>
        <x:color rgb="FF000000"/>
        <x:name val="Helvetica Neue"/>
        <x:family val="2"/>
        <x:scheme val="none"/>
      </x:font>
    </x:dxf>
    <x:dxf>
      <x:font>
        <x:b/>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2"/>
        <x:color theme="1"/>
        <x:name val="Helvetica"/>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b/>
        <x:u val="none"/>
        <x:sz val="10"/>
        <x:color rgb="FF000000"/>
        <x:name val="Helvetica Neue"/>
        <x:family val="2"/>
        <x:scheme val="none"/>
      </x:font>
    </x:dxf>
    <x:dxf>
      <x:font>
        <x:b/>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2"/>
        <x:color theme="1"/>
        <x:name val="Helvetica"/>
        <x:family val="2"/>
        <x:scheme val="none"/>
      </x:font>
    </x:dxf>
    <x:dxf>
      <x:font>
        <x:u val="none"/>
        <x:sz val="10"/>
        <x:color rgb="FF000000"/>
        <x:name val="Helvetica Neue"/>
        <x:family val="2"/>
        <x:scheme val="none"/>
      </x:font>
    </x:dxf>
    <x:dxf>
      <x:font>
        <x:u val="none"/>
        <x:sz val="12"/>
        <x:color theme="1"/>
        <x:name val="Helvetica"/>
        <x:family val="2"/>
        <x:scheme val="none"/>
      </x:font>
    </x:dxf>
    <x:dxf>
      <x:font>
        <x:u val="none"/>
        <x:sz val="10"/>
        <x:color rgb="FF000000"/>
        <x:name val="Helvetica Neue"/>
        <x:family val="2"/>
        <x:scheme val="none"/>
      </x:font>
    </x:dxf>
    <x:dxf>
      <x:font>
        <x:u val="none"/>
        <x:sz val="12"/>
        <x:color theme="1"/>
        <x:name val="Helvetica"/>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b/>
        <x:u val="none"/>
        <x:sz val="10"/>
        <x:color rgb="FF000000"/>
        <x:name val="Helvetica Neue"/>
        <x:family val="2"/>
        <x:scheme val="none"/>
      </x:font>
    </x:dxf>
    <x:dxf>
      <x:font>
        <x:b/>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u val="none"/>
        <x:sz val="10"/>
        <x:color rgb="FF000000"/>
        <x:name val="Helvetica Neue"/>
        <x:family val="2"/>
        <x:scheme val="none"/>
      </x:font>
    </x:dxf>
    <x:dxf>
      <x:font>
        <x:b/>
        <x:u val="none"/>
        <x:sz val="10"/>
        <x:color rgb="FF000000"/>
        <x:name val="Helvetica Neue"/>
        <x:family val="2"/>
        <x:scheme val="none"/>
      </x:font>
    </x:dxf>
    <x:dxf>
      <x:font>
        <x:color rgb="FFB42318"/>
      </x:font>
      <x:fill>
        <x:patternFill>
          <x:bgColor rgb="FFFDECEC"/>
        </x:patternFill>
      </x:fill>
    </x:dxf>
    <x:dxf>
      <x:font>
        <x:color rgb="FF176B3A"/>
      </x:font>
      <x:fill>
        <x:patternFill>
          <x:bgColor rgb="FFEAF7EE"/>
        </x:patternFill>
      </x:fill>
    </x:dxf>
    <x:dxf>
      <x:font>
        <x:color rgb="FFB42318"/>
      </x:font>
      <x:fill>
        <x:patternFill>
          <x:bgColor rgb="FFFDECEC"/>
        </x:patternFill>
      </x:fill>
    </x:dxf>
    <x:dxf>
      <x:font>
        <x:color rgb="FF176B3A"/>
      </x:font>
      <x:fill>
        <x:patternFill>
          <x:bgColor rgb="FFEAF7E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7c8c2ef855467e" /><Relationship Type="http://schemas.openxmlformats.org/officeDocument/2006/relationships/theme" Target="/xl/theme/theme1.xml" Id="R753caad75c2945e9" /><Relationship Type="http://schemas.openxmlformats.org/officeDocument/2006/relationships/sharedStrings" Target="/xl/sharedStrings.xml" Id="R4cf7944ea9084cc9" /><Relationship Type="http://schemas.openxmlformats.org/officeDocument/2006/relationships/worksheet" Target="/xl/worksheets/sheet1.xml" Id="Refab6055bf8a476b" /><Relationship Type="http://schemas.openxmlformats.org/officeDocument/2006/relationships/worksheet" Target="/xl/worksheets/sheet2.xml" Id="Rc2ccec130ff446b9" /><Relationship Type="http://schemas.openxmlformats.org/officeDocument/2006/relationships/worksheet" Target="/xl/worksheets/sheet3.xml" Id="R4ee38f5973124591" /><Relationship Type="http://schemas.openxmlformats.org/officeDocument/2006/relationships/worksheet" Target="/xl/worksheets/sheet4.xml" Id="R0d8b555ac4ce4e69" /><Relationship Type="http://schemas.openxmlformats.org/officeDocument/2006/relationships/worksheet" Target="/xl/worksheets/sheet5.xml" Id="Ref43ffdf51554757" /><Relationship Type="http://schemas.openxmlformats.org/officeDocument/2006/relationships/worksheet" Target="/xl/worksheets/sheet6.xml" Id="R3e212fac230a4049" /><Relationship Type="http://schemas.openxmlformats.org/officeDocument/2006/relationships/worksheet" Target="/xl/worksheets/sheet7.xml" Id="Rec1a066624d44d63" /></Relationships>
</file>

<file path=xl/tables/table1.xml><?xml version="1.0" encoding="utf-8"?>
<x:table xmlns:x="http://schemas.openxmlformats.org/spreadsheetml/2006/main" id="1" name="tblPanelBaseline" displayName="tblPanelBaseline" ref="A1:L2" totalsRowShown="0" dataDxfId="54">
  <x:autoFilter ref="A1:L2"/>
  <x:tableColumns count="12">
    <x:tableColumn id="1" name="total_applications" dataDxfId="66"/>
    <x:tableColumn id="2" name="total_offers" dataDxfId="65"/>
    <x:tableColumn id="3" name="applications_with_click" dataDxfId="64"/>
    <x:tableColumn id="4" name="total_clicks" dataDxfId="63"/>
    <x:tableColumn id="5" name="total_sales" dataDxfId="62"/>
    <x:tableColumn id="6" name="total_revenue" dataDxfId="61"/>
    <x:tableColumn id="7" name="application_clickout_rate" dataDxfId="60"/>
    <x:tableColumn id="8" name="offer_click_through_rate" dataDxfId="59"/>
    <x:tableColumn id="9" name="click_to_sale_rate" dataDxfId="58"/>
    <x:tableColumn id="10" name="revenue_per_click" dataDxfId="57"/>
    <x:tableColumn id="11" name="revenue_per_application" dataDxfId="56"/>
    <x:tableColumn id="12" name="sales_per_100_applications" dataDxfId="55"/>
  </x:tableColumns>
  <x:tableStyleInfo name="TableStyleMedium2" showFirstColumn="0" showLastColumn="0" showRowStripes="1" showColumnStripes="0"/>
</x:table>
</file>

<file path=xl/tables/table2.xml><?xml version="1.0" encoding="utf-8"?>
<x:table xmlns:x="http://schemas.openxmlformats.org/spreadsheetml/2006/main" id="2" name="tblCardPerformance" displayName="tblCardPerformance" ref="A1:N35" totalsRowShown="0" dataDxfId="38">
  <x:autoFilter ref="A1:N35"/>
  <x:tableColumns count="14">
    <x:tableColumn id="1" name="card_id" dataDxfId="52"/>
    <x:tableColumn id="2" name="offers" dataDxfId="51"/>
    <x:tableColumn id="3" name="clicks" dataDxfId="50"/>
    <x:tableColumn id="4" name="click_through_rate" dataDxfId="49"/>
    <x:tableColumn id="5" name="sales" dataDxfId="48"/>
    <x:tableColumn id="6" name="click_to_sale_rate" dataDxfId="47"/>
    <x:tableColumn id="7" name="revenue" dataDxfId="46"/>
    <x:tableColumn id="8" name="revenue_per_click" dataDxfId="45"/>
    <x:tableColumn id="9" name="revenue_per_offer" dataDxfId="44"/>
    <x:tableColumn id="10" name="revenue_per_sale" dataDxfId="43"/>
    <x:tableColumn id="11" name="avg_apr" dataDxfId="42"/>
    <x:tableColumn id="12" name="avg_likelihood" dataDxfId="41"/>
    <x:tableColumn id="13" name="avg_apr_rank" dataDxfId="40"/>
    <x:tableColumn id="14" name="avg_likelihood_rank" dataDxfId="39"/>
  </x:tableColumns>
  <x:tableStyleInfo name="TableStyleMedium2" showFirstColumn="0" showLastColumn="0" showRowStripes="1" showColumnStripes="0"/>
</x:table>
</file>

<file path=xl/tables/table3.xml><?xml version="1.0" encoding="utf-8"?>
<x:table xmlns:x="http://schemas.openxmlformats.org/spreadsheetml/2006/main" id="3" name="tblCard29Context" displayName="tblCard29Context" ref="A1:J34" totalsRowShown="0" dataDxfId="26">
  <x:autoFilter ref="A1:J34"/>
  <x:tableColumns count="10">
    <x:tableColumn id="1" name="competitor_card" dataDxfId="36"/>
    <x:tableColumn id="2" name="applications_together" dataDxfId="35"/>
    <x:tableColumn id="3" name="card29_clicks" dataDxfId="34"/>
    <x:tableColumn id="4" name="competitor_clicks" dataDxfId="33"/>
    <x:tableColumn id="5" name="card29_click_rate" dataDxfId="32"/>
    <x:tableColumn id="6" name="competitor_click_rate" dataDxfId="31"/>
    <x:tableColumn id="7" name="click_rate_multiple" dataDxfId="30"/>
    <x:tableColumn id="8" name="same_likelihood_rate" dataDxfId="29"/>
    <x:tableColumn id="9" name="card29_higher_likelihood_rate" dataDxfId="28"/>
    <x:tableColumn id="10" name="card29_lower_apr_rate" dataDxfId="27"/>
  </x:tableColumns>
  <x:tableStyleInfo name="TableStyleMedium2" showFirstColumn="0" showLastColumn="0" showRowStripes="1" showColumnStripes="0"/>
</x:table>
</file>

<file path=xl/tables/table4.xml><?xml version="1.0" encoding="utf-8"?>
<x:table xmlns:x="http://schemas.openxmlformats.org/spreadsheetml/2006/main" id="4" name="tblScenarioComparison" displayName="tblScenarioComparison" ref="A1:D4" totalsRowShown="0" dataDxfId="20">
  <x:autoFilter ref="A1:D4"/>
  <x:tableColumns count="4">
    <x:tableColumn id="1" name="scenario" dataDxfId="24"/>
    <x:tableColumn id="2" name="clicks_or_expected_clicks" dataDxfId="23"/>
    <x:tableColumn id="3" name="sales_or_expected_sales" dataDxfId="22"/>
    <x:tableColumn id="4" name="revenue_or_expected_revenue" dataDxfId="21"/>
  </x:tableColumns>
  <x:tableStyleInfo name="TableStyleMedium2" showFirstColumn="0" showLastColumn="0" showRowStripes="1" showColumnStripes="0"/>
</x:table>
</file>

<file path=xl/tables/table5.xml><?xml version="1.0" encoding="utf-8"?>
<x:table xmlns:x="http://schemas.openxmlformats.org/spreadsheetml/2006/main" id="5" name="tblScenarioAReplacements" displayName="tblScenarioAReplacements" ref="A8:B22" totalsRowShown="0">
  <x:autoFilter ref="A8:B22"/>
  <x:tableColumns count="2">
    <x:tableColumn id="1" name="card_id" dataDxfId="18"/>
    <x:tableColumn id="2" name="modelled_replacements" dataDxfId="17"/>
  </x:tableColumns>
  <x:tableStyleInfo name="TableStyleMedium2" showFirstColumn="0" showLastColumn="0" showRowStripes="1" showColumnStripes="0"/>
</x:table>
</file>

<file path=xl/tables/table6.xml><?xml version="1.0" encoding="utf-8"?>
<x:table xmlns:x="http://schemas.openxmlformats.org/spreadsheetml/2006/main" id="6" name="tblScenarioBAmbiguous" displayName="tblScenarioBAmbiguous" ref="D9:G13" totalsRowShown="0" dataDxfId="11">
  <x:autoFilter ref="D9:G13"/>
  <x:tableColumns count="4">
    <x:tableColumn id="1" name="outcome" dataDxfId="15"/>
    <x:tableColumn id="2" name="expected_applicants" dataDxfId="14"/>
    <x:tableColumn id="3" name="expected_sales" dataDxfId="13"/>
    <x:tableColumn id="4" name="expected_revenue" dataDxfId="12"/>
  </x:tableColumns>
  <x:tableStyleInfo name="TableStyleMedium2" showFirstColumn="0" showLastColumn="0" showRowStripes="1" showColumnStripes="0"/>
</x:table>
</file>

<file path=xl/tables/table7.xml><?xml version="1.0" encoding="utf-8"?>
<x:table xmlns:x="http://schemas.openxmlformats.org/spreadsheetml/2006/main" id="7" name="tblBreakEven" displayName="tblBreakEven" ref="A1:B3" totalsRowShown="0">
  <x:autoFilter ref="A1:B3"/>
  <x:tableColumns count="2">
    <x:tableColumn id="1" name="metric" dataDxfId="9"/>
    <x:tableColumn id="2" name="value" dataDxfId="8"/>
  </x:tableColumns>
  <x:tableStyleInfo name="TableStyleMedium2" showFirstColumn="0" showLastColumn="0" showRowStripes="1" showColumnStripes="0"/>
</x:table>
</file>

<file path=xl/tables/table8.xml><?xml version="1.0" encoding="utf-8"?>
<x:table xmlns:x="http://schemas.openxmlformats.org/spreadsheetml/2006/main" id="8" name="tblSensitivity" displayName="tblSensitivity" ref="A8:E19" totalsRowShown="0" dataDxfId="1">
  <x:autoFilter ref="A8:E19"/>
  <x:tableColumns count="5">
    <x:tableColumn id="1" name="remaining_transfer_rate" dataDxfId="6"/>
    <x:tableColumn id="2" name="expected_sales" dataDxfId="5"/>
    <x:tableColumn id="3" name="expected_revenue" dataDxfId="4"/>
    <x:tableColumn id="4" name="sales_vs_card29" dataDxfId="3"/>
    <x:tableColumn id="5" name="revenue_vs_card29" dataDxfId="2"/>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120326b8bb24229" /></Relationships>
</file>

<file path=xl/worksheets/_rels/sheet3.xml.rels>&#65279;<?xml version="1.0" encoding="utf-8"?><Relationships xmlns="http://schemas.openxmlformats.org/package/2006/relationships"><Relationship Type="http://schemas.openxmlformats.org/officeDocument/2006/relationships/table" Target="/xl/tables/table2.xml" Id="Rd55439f55a78439b" /></Relationships>
</file>

<file path=xl/worksheets/_rels/sheet4.xml.rels>&#65279;<?xml version="1.0" encoding="utf-8"?><Relationships xmlns="http://schemas.openxmlformats.org/package/2006/relationships"><Relationship Type="http://schemas.openxmlformats.org/officeDocument/2006/relationships/table" Target="/xl/tables/table3.xml" Id="Rc5f74183c8264e5b" /></Relationships>
</file>

<file path=xl/worksheets/_rels/sheet5.xml.rels>&#65279;<?xml version="1.0" encoding="utf-8"?><Relationships xmlns="http://schemas.openxmlformats.org/package/2006/relationships"><Relationship Type="http://schemas.openxmlformats.org/officeDocument/2006/relationships/table" Target="/xl/tables/table4.xml" Id="R885f93674a6c4c99" /><Relationship Type="http://schemas.openxmlformats.org/officeDocument/2006/relationships/table" Target="/xl/tables/table5.xml" Id="Rf63bdcc673ec4bc8" /><Relationship Type="http://schemas.openxmlformats.org/officeDocument/2006/relationships/table" Target="/xl/tables/table6.xml" Id="R26abc8e7952b491d" /></Relationships>
</file>

<file path=xl/worksheets/_rels/sheet6.xml.rels>&#65279;<?xml version="1.0" encoding="utf-8"?><Relationships xmlns="http://schemas.openxmlformats.org/package/2006/relationships"><Relationship Type="http://schemas.openxmlformats.org/officeDocument/2006/relationships/table" Target="/xl/tables/table7.xml" Id="R2c2e7e0b99bf40ca" /><Relationship Type="http://schemas.openxmlformats.org/officeDocument/2006/relationships/table" Target="/xl/tables/table8.xml" Id="R13aa28b5d3c74eb0" /></Relationships>
</file>

<file path=xl/worksheets/sheet1.xml><?xml version="1.0" encoding="utf-8"?>
<x:worksheet xmlns:x="http://schemas.openxmlformats.org/spreadsheetml/2006/main">
  <x:sheetFormatPr baseColWidth="10" defaultRowHeight="16"/>
  <x:cols>
    <x:col min="1" max="1" width="34" hidden="0" customWidth="1"/>
    <x:col min="2" max="2" width="16" hidden="0" customWidth="1"/>
    <x:col min="3" max="3" width="16" hidden="0" customWidth="1"/>
    <x:col min="4" max="4" width="16" hidden="0" customWidth="1"/>
    <x:col min="5" max="5" width="16" hidden="0" customWidth="1"/>
    <x:col min="6" max="6" width="18" hidden="0" customWidth="1"/>
    <x:col min="7" max="7" width="18" hidden="0" customWidth="1"/>
    <x:col min="8" max="8" width="18" hidden="0" customWidth="1"/>
  </x:cols>
  <x:sheetData>
    <x:row r="1" ht="28" customHeight="1">
      <x:c r="A1" s="139" t="str">
        <x:v>Credit Card Panel Performance Review</x:v>
      </x:c>
      <x:c r="B1" s="139"/>
      <x:c r="C1" s="139"/>
      <x:c r="D1" s="139"/>
      <x:c r="E1" s="139"/>
      <x:c r="F1" s="139"/>
      <x:c r="G1" s="139"/>
      <x:c r="H1" s="139"/>
    </x:row>
    <x:row r="2" ht="28" customHeight="1">
      <x:c r="A2" s="139"/>
      <x:c r="B2" s="139"/>
      <x:c r="C2" s="139"/>
      <x:c r="D2" s="139"/>
      <x:c r="E2" s="139"/>
      <x:c r="F2" s="139"/>
      <x:c r="G2" s="139"/>
      <x:c r="H2" s="139"/>
    </x:row>
    <x:row r="3">
      <x:c r="A3" s="141" t="str">
        <x:v>Assessment of whether any individual card is materially harming marketplace performance</x:v>
      </x:c>
      <x:c r="B3" s="141"/>
      <x:c r="C3" s="141"/>
      <x:c r="D3" s="141"/>
      <x:c r="E3" s="141"/>
      <x:c r="F3" s="141"/>
      <x:c r="G3" s="141"/>
      <x:c r="H3" s="141"/>
    </x:row>
    <x:row r="5" ht="30" customHeight="1">
      <x:c r="A5" s="145" t="str">
        <x:v>Card 29 is the clearest intervention candidate, but the evidence does not justify immediate permanent removal.
It attracts the highest click volume in the panel while monetising materially worse than its main alternatives. Removal could improve performance, but the result depends on how customers redistribute after Card 29 disappears.</x:v>
      </x:c>
      <x:c r="B5" s="145"/>
      <x:c r="C5" s="145"/>
      <x:c r="D5" s="145"/>
      <x:c r="E5" s="145"/>
      <x:c r="F5" s="145"/>
      <x:c r="G5" s="145"/>
      <x:c r="H5" s="145"/>
    </x:row>
    <x:row r="6" ht="30" customHeight="1">
      <x:c r="A6" s="145"/>
      <x:c r="B6" s="145"/>
      <x:c r="C6" s="145"/>
      <x:c r="D6" s="145"/>
      <x:c r="E6" s="145"/>
      <x:c r="F6" s="145"/>
      <x:c r="G6" s="145"/>
      <x:c r="H6" s="145"/>
    </x:row>
    <x:row r="7" ht="30" customHeight="1">
      <x:c r="A7" s="145"/>
      <x:c r="B7" s="145"/>
      <x:c r="C7" s="145"/>
      <x:c r="D7" s="145"/>
      <x:c r="E7" s="145"/>
      <x:c r="F7" s="145"/>
      <x:c r="G7" s="145"/>
      <x:c r="H7" s="145"/>
    </x:row>
    <x:row r="9">
      <x:c r="A9" s="146" t="str">
        <x:v>Key diagnostics</x:v>
      </x:c>
      <x:c r="B9" s="146"/>
      <x:c r="C9" s="146"/>
      <x:c r="D9" s="146"/>
      <x:c r="E9" s="146"/>
      <x:c r="F9" s="146"/>
      <x:c r="G9" s="146"/>
      <x:c r="H9" s="146"/>
    </x:row>
    <x:row r="10">
      <x:c r="A10" s="151" t="str">
        <x:v>Card 29 clicks</x:v>
      </x:c>
      <x:c r="B10" s="151"/>
      <x:c r="C10" s="151" t="str">
        <x:v>Card 29 conversion</x:v>
      </x:c>
      <x:c r="D10" s="151"/>
      <x:c r="E10" s="151" t="str">
        <x:v>Card 29 revenue / click</x:v>
      </x:c>
      <x:c r="F10" s="151"/>
      <x:c r="G10" s="151" t="str">
        <x:v>Panel revenue / click</x:v>
      </x:c>
      <x:c r="H10" s="151"/>
    </x:row>
    <x:row r="11">
      <x:c r="A11" s="155" t="n">
        <x:f>'3. Card Performance'!C2</x:f>
        <x:v>398</x:v>
      </x:c>
      <x:c r="B11" s="155"/>
      <x:c r="C11" s="158" t="n">
        <x:f>'3. Card Performance'!F2</x:f>
        <x:v>0.158291457286432</x:v>
      </x:c>
      <x:c r="D11" s="158"/>
      <x:c r="E11" s="161" t="n">
        <x:f>'3. Card Performance'!H2</x:f>
        <x:v>6.96482412060302</x:v>
      </x:c>
      <x:c r="F11" s="161"/>
      <x:c r="G11" s="161" t="n">
        <x:f>'2. Panel Baseline'!J2</x:f>
        <x:v>11.3193022007515</x:v>
      </x:c>
      <x:c r="H11" s="161"/>
    </x:row>
    <x:row r="12">
      <x:c r="A12" s="155"/>
      <x:c r="B12" s="155"/>
      <x:c r="C12" s="158"/>
      <x:c r="D12" s="158"/>
      <x:c r="E12" s="161"/>
      <x:c r="F12" s="161"/>
      <x:c r="G12" s="161"/>
      <x:c r="H12" s="161"/>
    </x:row>
    <x:row r="14">
      <x:c r="A14" s="146" t="str">
        <x:v>Why Card 29 stands out</x:v>
      </x:c>
      <x:c r="B14" s="146"/>
      <x:c r="C14" s="146"/>
      <x:c r="D14" s="146"/>
      <x:c r="E14" s="146"/>
      <x:c r="F14" s="146"/>
      <x:c r="G14" s="146"/>
      <x:c r="H14" s="146"/>
    </x:row>
    <x:row r="15" ht="20" customHeight="1">
      <x:c r="A15" s="165" t="str">
        <x:v>Card</x:v>
      </x:c>
      <x:c r="B15" s="165" t="str">
        <x:v>Clicks</x:v>
      </x:c>
      <x:c r="C15" s="165" t="str">
        <x:v>Click rate</x:v>
      </x:c>
      <x:c r="D15" s="165" t="str">
        <x:v>Conversion</x:v>
      </x:c>
      <x:c r="E15" s="165" t="str">
        <x:v>Revenue / click</x:v>
      </x:c>
      <x:c r="F15" s="165" t="str">
        <x:v>APR</x:v>
      </x:c>
      <x:c r="G15" s="165" t="str">
        <x:v>Revenue / sale</x:v>
      </x:c>
    </x:row>
    <x:row r="16" ht="20" customHeight="1">
      <x:c r="A16" s="180" t="str">
        <x:f>'3. Card Performance'!A2</x:f>
        <x:v>Card 29</x:v>
      </x:c>
      <x:c r="B16" s="181" t="n">
        <x:f>'3. Card Performance'!C2</x:f>
        <x:v>398</x:v>
      </x:c>
      <x:c r="C16" s="182" t="n">
        <x:f>'3. Card Performance'!D2</x:f>
        <x:v>0.24937343358396</x:v>
      </x:c>
      <x:c r="D16" s="182" t="n">
        <x:f>'3. Card Performance'!F2</x:f>
        <x:v>0.158291457286432</x:v>
      </x:c>
      <x:c r="E16" s="183" t="n">
        <x:f>'3. Card Performance'!H2</x:f>
        <x:v>6.96482412060302</x:v>
      </x:c>
      <x:c r="F16" s="184" t="n">
        <x:f>'3. Card Performance'!K2</x:f>
        <x:v>29.9000000000009</x:v>
      </x:c>
      <x:c r="G16" s="183" t="n">
        <x:f>'3. Card Performance'!J2</x:f>
        <x:v>44</x:v>
      </x:c>
    </x:row>
    <x:row r="17" ht="20" customHeight="1">
      <x:c r="A17" s="170" t="str">
        <x:f>'3. Card Performance'!A3</x:f>
        <x:v>Card 30</x:v>
      </x:c>
      <x:c r="B17" s="171" t="n">
        <x:f>'3. Card Performance'!C3</x:f>
        <x:v>281</x:v>
      </x:c>
      <x:c r="C17" s="172" t="n">
        <x:f>'3. Card Performance'!D3</x:f>
        <x:v>0.175625</x:v>
      </x:c>
      <x:c r="D17" s="172" t="n">
        <x:f>'3. Card Performance'!F3</x:f>
        <x:v>0.316725978647687</x:v>
      </x:c>
      <x:c r="E17" s="173" t="n">
        <x:f>'3. Card Performance'!H3</x:f>
        <x:v>13.9359430604982</x:v>
      </x:c>
      <x:c r="F17" s="174" t="n">
        <x:f>'3. Card Performance'!K3</x:f>
        <x:v>32.9000000000009</x:v>
      </x:c>
      <x:c r="G17" s="173" t="n">
        <x:f>'3. Card Performance'!J3</x:f>
        <x:v>44</x:v>
      </x:c>
    </x:row>
    <x:row r="18" ht="20" customHeight="1">
      <x:c r="A18" s="170" t="str">
        <x:f>'3. Card Performance'!A8</x:f>
        <x:v>Card 31</x:v>
      </x:c>
      <x:c r="B18" s="171" t="n">
        <x:f>'3. Card Performance'!C8</x:f>
        <x:v>80</x:v>
      </x:c>
      <x:c r="C18" s="172" t="n">
        <x:f>'3. Card Performance'!D8</x:f>
        <x:v>0.0548696844993141</x:v>
      </x:c>
      <x:c r="D18" s="172" t="n">
        <x:f>'3. Card Performance'!F8</x:f>
        <x:v>0.2625</x:v>
      </x:c>
      <x:c r="E18" s="173" t="n">
        <x:f>'3. Card Performance'!H8</x:f>
        <x:v>11.55</x:v>
      </x:c>
      <x:c r="F18" s="174" t="n">
        <x:f>'3. Card Performance'!K8</x:f>
        <x:v>32.9000000000009</x:v>
      </x:c>
      <x:c r="G18" s="173" t="n">
        <x:f>'3. Card Performance'!J8</x:f>
        <x:v>44</x:v>
      </x:c>
    </x:row>
    <x:row r="20">
      <x:c r="A20" s="188" t="str">
        <x:v>When co-offered, Card 29 receives 2.38× Card 30's click rate and 4.81× Card 31's click rate, despite materially weaker downstream conversion. All three cards generate £44 per completed sale.</x:v>
      </x:c>
      <x:c r="B20" s="188"/>
      <x:c r="C20" s="188"/>
      <x:c r="D20" s="188"/>
      <x:c r="E20" s="188"/>
      <x:c r="F20" s="188"/>
      <x:c r="G20" s="188"/>
      <x:c r="H20" s="188"/>
    </x:row>
    <x:row r="21">
      <x:c r="A21" s="188"/>
      <x:c r="B21" s="188"/>
      <x:c r="C21" s="188"/>
      <x:c r="D21" s="188"/>
      <x:c r="E21" s="188"/>
      <x:c r="F21" s="188"/>
      <x:c r="G21" s="188"/>
      <x:c r="H21" s="188"/>
    </x:row>
    <x:row r="23">
      <x:c r="A23" s="146" t="str">
        <x:v>Does removing Card 29 improve the panel?</x:v>
      </x:c>
      <x:c r="B23" s="146"/>
      <x:c r="C23" s="146"/>
      <x:c r="D23" s="146"/>
      <x:c r="E23" s="146"/>
      <x:c r="F23" s="146"/>
      <x:c r="G23" s="146"/>
      <x:c r="H23" s="146"/>
    </x:row>
    <x:row r="24">
      <x:c r="A24" s="165" t="str">
        <x:v>Scenario</x:v>
      </x:c>
      <x:c r="B24" s="165" t="str">
        <x:v>Expected clicks</x:v>
      </x:c>
      <x:c r="C24" s="165" t="str">
        <x:v>Expected sales</x:v>
      </x:c>
      <x:c r="D24" s="165" t="str">
        <x:v>Expected revenue</x:v>
      </x:c>
      <x:c r="E24" s="165" t="str">
        <x:v>Revenue vs keep</x:v>
      </x:c>
      <x:c r="F24" s="180" t="str">
        <x:v>Key uncertainty</x:v>
      </x:c>
      <x:c r="G24" s="180"/>
      <x:c r="H24" s="180"/>
    </x:row>
    <x:row r="25" ht="22" customHeight="1">
      <x:c r="A25" s="193" t="str">
        <x:f>'5. Scenario Analysis'!A2</x:f>
        <x:v>Keep Card 29</x:v>
      </x:c>
      <x:c r="B25" s="194" t="n">
        <x:f>'5. Scenario Analysis'!B2</x:f>
        <x:v>398</x:v>
      </x:c>
      <x:c r="C25" s="194" t="n">
        <x:f>'5. Scenario Analysis'!C2</x:f>
        <x:v>63</x:v>
      </x:c>
      <x:c r="D25" s="195" t="n">
        <x:f>'5. Scenario Analysis'!D2</x:f>
        <x:v>2772</x:v>
      </x:c>
      <x:c r="E25" s="193" t="str">
        <x:v>—</x:v>
      </x:c>
      <x:c r="F25" s="204" t="str">
        <x:v>Under the empirically anchored scenario, the remaining eligible group requires an 80.8% transfer rate for revenue to break even. This behaviour cannot be observed directly in the supplied data.</x:v>
      </x:c>
      <x:c r="G25" s="204"/>
      <x:c r="H25" s="204"/>
    </x:row>
    <x:row r="26" ht="22" customHeight="1">
      <x:c r="A26" s="170" t="str">
        <x:f>'5. Scenario Analysis'!A3</x:f>
        <x:v>A - strongest visible alternative</x:v>
      </x:c>
      <x:c r="B26" s="174" t="n">
        <x:f>'5. Scenario Analysis'!B3</x:f>
        <x:v>315</x:v>
      </x:c>
      <x:c r="C26" s="174" t="n">
        <x:f>'5. Scenario Analysis'!C3</x:f>
        <x:v>102.65902004722</x:v>
      </x:c>
      <x:c r="D26" s="191" t="n">
        <x:f>'5. Scenario Analysis'!D3</x:f>
        <x:v>4180.02989829911</x:v>
      </x:c>
      <x:c r="E26" s="192" t="n">
        <x:f>D26-$D$25</x:f>
        <x:v>1408.0298982991098</x:v>
      </x:c>
      <x:c r="F26" s="204"/>
      <x:c r="G26" s="204"/>
      <x:c r="H26" s="204"/>
    </x:row>
    <x:row r="27" ht="22" customHeight="1">
      <x:c r="A27" s="196" t="str">
        <x:f>'5. Scenario Analysis'!A4</x:f>
        <x:v>B - empirical redistribution</x:v>
      </x:c>
      <x:c r="B27" s="197" t="n">
        <x:f>'5. Scenario Analysis'!B4</x:f>
        <x:v>224.818181818182</x:v>
      </x:c>
      <x:c r="C27" s="197" t="n">
        <x:f>'5. Scenario Analysis'!C4</x:f>
        <x:v>71.5684687058117</x:v>
      </x:c>
      <x:c r="D27" s="198" t="n">
        <x:f>'5. Scenario Analysis'!D4</x:f>
        <x:v>2932.76458450715</x:v>
      </x:c>
      <x:c r="E27" s="199" t="n">
        <x:f>D27-$D$25</x:f>
        <x:v>160.76458450715018</x:v>
      </x:c>
      <x:c r="F27" s="204"/>
      <x:c r="G27" s="204"/>
      <x:c r="H27" s="204"/>
    </x:row>
    <x:row r="29" ht="30" customHeight="1">
      <x:c r="A29" s="208" t="str">
        <x:v>Recommended action: controlled test of Card 29 removal or deprioritisation
Primary KPI: revenue per application.
Secondary metrics: sales per application, application clickout rate, click-to-sale conversion and click redistribution toward Cards 30/31.
Permanent removal should follow only if treatment produces a commercially meaningful improvement without materially reducing clickout.</x:v>
      </x:c>
      <x:c r="B29" s="208"/>
      <x:c r="C29" s="208"/>
      <x:c r="D29" s="208"/>
      <x:c r="E29" s="208"/>
      <x:c r="F29" s="208"/>
      <x:c r="G29" s="208"/>
      <x:c r="H29" s="208"/>
    </x:row>
    <x:row r="30" ht="30" customHeight="1">
      <x:c r="A30" s="208"/>
      <x:c r="B30" s="208"/>
      <x:c r="C30" s="208"/>
      <x:c r="D30" s="208"/>
      <x:c r="E30" s="208"/>
      <x:c r="F30" s="208"/>
      <x:c r="G30" s="208"/>
      <x:c r="H30" s="208"/>
    </x:row>
    <x:row r="31" ht="30" customHeight="1">
      <x:c r="A31" s="208"/>
      <x:c r="B31" s="208"/>
      <x:c r="C31" s="208"/>
      <x:c r="D31" s="208"/>
      <x:c r="E31" s="208"/>
      <x:c r="F31" s="208"/>
      <x:c r="G31" s="208"/>
      <x:c r="H31" s="208"/>
    </x:row>
    <x:row r="32" ht="30" customHeight="1">
      <x:c r="A32" s="208"/>
      <x:c r="B32" s="208"/>
      <x:c r="C32" s="208"/>
      <x:c r="D32" s="208"/>
      <x:c r="E32" s="208"/>
      <x:c r="F32" s="208"/>
      <x:c r="G32" s="208"/>
      <x:c r="H32" s="208"/>
    </x:row>
    <x:row r="34">
      <x:c r="A34" s="209" t="str">
        <x:v>All figures are linked to the underlying working sheets; scenario outputs are modelled, not observed causal outcomes.</x:v>
      </x:c>
      <x:c r="B34" s="209"/>
      <x:c r="C34" s="209"/>
      <x:c r="D34" s="209"/>
      <x:c r="E34" s="209"/>
      <x:c r="F34" s="209"/>
      <x:c r="G34" s="209"/>
      <x:c r="H34" s="209"/>
    </x:row>
  </x:sheetData>
  <x:mergeCells>
    <x:mergeCell ref="A1:H2"/>
    <x:mergeCell ref="A3:H3"/>
    <x:mergeCell ref="A5:H7"/>
    <x:mergeCell ref="A9:H9"/>
    <x:mergeCell ref="A10:B10"/>
    <x:mergeCell ref="A11:B12"/>
    <x:mergeCell ref="C10:D10"/>
    <x:mergeCell ref="C11:D12"/>
    <x:mergeCell ref="E10:F10"/>
    <x:mergeCell ref="E11:F12"/>
    <x:mergeCell ref="G10:H10"/>
    <x:mergeCell ref="G11:H12"/>
    <x:mergeCell ref="A14:H14"/>
    <x:mergeCell ref="A20:H21"/>
    <x:mergeCell ref="A23:H23"/>
    <x:mergeCell ref="F24:H24"/>
    <x:mergeCell ref="F25:H27"/>
    <x:mergeCell ref="A29:H32"/>
    <x:mergeCell ref="A34:H34"/>
  </x:mergeCells>
  <x:pageMargins left="0.7" right="0.7" top="0.75" bottom="0.75" header="0.3" footer="0.3"/>
</x:worksheet>
</file>

<file path=xl/worksheets/sheet2.xml><?xml version="1.0" encoding="utf-8"?>
<x:worksheet xmlns:x="http://schemas.openxmlformats.org/spreadsheetml/2006/main">
  <x:sheetFormatPr baseColWidth="10" defaultRowHeight="16"/>
  <x:cols>
    <x:col min="1" max="1" width="16" hidden="0" customWidth="1"/>
    <x:col min="2" max="2" width="14" hidden="0" customWidth="1"/>
    <x:col min="3" max="3" width="22" hidden="0" customWidth="1"/>
    <x:col min="4" max="4" width="14" hidden="0" customWidth="1"/>
    <x:col min="5" max="5" width="12" hidden="0" customWidth="1"/>
    <x:col min="6" max="6" width="16" hidden="0" customWidth="1"/>
    <x:col min="7" max="7" width="23" hidden="0" customWidth="1"/>
    <x:col min="8" max="8" width="22" hidden="0" customWidth="1"/>
    <x:col min="9" max="10" width="18.33203125" customWidth="1"/>
    <x:col min="11" max="11" width="21" hidden="0" customWidth="1"/>
    <x:col min="12" max="12" width="21" hidden="0" customWidth="1"/>
    <x:col min="9" max="9" width="20" hidden="0" customWidth="1"/>
    <x:col min="10" max="10" width="18" hidden="0" customWidth="1"/>
  </x:cols>
  <x:sheetData>
    <x:row r="1" ht="38" customHeight="1">
      <x:c r="A1" s="15" t="s">
        <x:v>0</x:v>
      </x:c>
      <x:c r="B1" s="15" t="s">
        <x:v>1</x:v>
      </x:c>
      <x:c r="C1" s="15" t="s">
        <x:v>2</x:v>
      </x:c>
      <x:c r="D1" s="15" t="s">
        <x:v>3</x:v>
      </x:c>
      <x:c r="E1" s="15" t="s">
        <x:v>4</x:v>
      </x:c>
      <x:c r="F1" s="15" t="s">
        <x:v>5</x:v>
      </x:c>
      <x:c r="G1" s="15" t="s">
        <x:v>6</x:v>
      </x:c>
      <x:c r="H1" s="15" t="s">
        <x:v>7</x:v>
      </x:c>
      <x:c r="I1" s="15" t="s">
        <x:v>8</x:v>
      </x:c>
      <x:c r="J1" s="15" t="s">
        <x:v>9</x:v>
      </x:c>
      <x:c r="K1" s="15" t="s">
        <x:v>10</x:v>
      </x:c>
      <x:c r="L1" s="15" t="s">
        <x:v>11</x:v>
      </x:c>
    </x:row>
    <x:row r="2">
      <x:c r="A2" s="20">
        <x:v>3684</x:v>
      </x:c>
      <x:c r="B2" s="21">
        <x:v>9945</x:v>
      </x:c>
      <x:c r="C2" s="21">
        <x:v>1841</x:v>
      </x:c>
      <x:c r="D2" s="21">
        <x:v>1863</x:v>
      </x:c>
      <x:c r="E2" s="21">
        <x:v>555</x:v>
      </x:c>
      <x:c r="F2" s="122">
        <x:v>21087.86</x:v>
      </x:c>
      <x:c r="G2" s="26">
        <x:v>0.499728555917481</x:v>
      </x:c>
      <x:c r="H2" s="26">
        <x:v>0.187330316742081</x:v>
      </x:c>
      <x:c r="I2" s="26">
        <x:v>0.297906602254428</x:v>
      </x:c>
      <x:c r="J2" s="122">
        <x:v>11.319302200751499</x:v>
      </x:c>
      <x:c r="K2" s="122">
        <x:v>5.7241748099891403</x:v>
      </x:c>
      <x:c r="L2" s="30">
        <x:v>15.065146579804599</x:v>
      </x:c>
    </x:row>
  </x:sheetData>
  <x:pageMargins left="0.7" right="0.7" top="0.75" bottom="0.75" header="0.3" footer="0.3"/>
  <x:tableParts count="1">
    <x:tablePart xmlns:r="http://schemas.openxmlformats.org/officeDocument/2006/relationships" r:id="Ra120326b8bb24229"/>
  </x:tableParts>
</x:worksheet>
</file>

<file path=xl/worksheets/sheet3.xml><?xml version="1.0" encoding="utf-8"?>
<x:worksheet xmlns:x="http://schemas.openxmlformats.org/spreadsheetml/2006/main">
  <x:sheetFormatPr baseColWidth="10" defaultRowHeight="16"/>
  <x:cols>
    <x:col min="4" max="4" width="18" hidden="0" customWidth="1"/>
    <x:col min="6" max="6" width="18" hidden="0" customWidth="1"/>
    <x:col min="8" max="8" width="17" hidden="0" customWidth="1"/>
    <x:col min="9" max="9" width="17" hidden="0" customWidth="1"/>
    <x:col min="10" max="10" width="17" hidden="0" customWidth="1"/>
    <x:col min="12" max="12" width="16" hidden="0" customWidth="1"/>
    <x:col min="13" max="13" width="15" hidden="0" customWidth="1"/>
    <x:col min="14" max="14" width="19" hidden="0" customWidth="1"/>
    <x:col min="1" max="1" width="12" hidden="0" customWidth="1"/>
    <x:col min="2" max="2" width="10" hidden="0" customWidth="1"/>
    <x:col min="3" max="3" width="10" hidden="0" customWidth="1"/>
    <x:col min="5" max="5" width="10" hidden="0" customWidth="1"/>
    <x:col min="7" max="7" width="14" hidden="0" customWidth="1"/>
    <x:col min="11" max="11" width="12" hidden="0" customWidth="1"/>
  </x:cols>
  <x:sheetData>
    <x:row r="1" ht="34" customHeight="1">
      <x:c r="A1" s="15" t="s">
        <x:v>12</x:v>
      </x:c>
      <x:c r="B1" s="15" t="s">
        <x:v>13</x:v>
      </x:c>
      <x:c r="C1" s="15" t="s">
        <x:v>14</x:v>
      </x:c>
      <x:c r="D1" s="15" t="s">
        <x:v>15</x:v>
      </x:c>
      <x:c r="E1" s="15" t="s">
        <x:v>16</x:v>
      </x:c>
      <x:c r="F1" s="15" t="s">
        <x:v>8</x:v>
      </x:c>
      <x:c r="G1" s="15" t="s">
        <x:v>17</x:v>
      </x:c>
      <x:c r="H1" s="15" t="s">
        <x:v>9</x:v>
      </x:c>
      <x:c r="I1" s="15" t="s">
        <x:v>18</x:v>
      </x:c>
      <x:c r="J1" s="15" t="s">
        <x:v>19</x:v>
      </x:c>
      <x:c r="K1" s="15" t="s">
        <x:v>20</x:v>
      </x:c>
      <x:c r="L1" s="15" t="s">
        <x:v>21</x:v>
      </x:c>
      <x:c r="M1" s="15" t="s">
        <x:v>22</x:v>
      </x:c>
      <x:c r="N1" s="15" t="s">
        <x:v>23</x:v>
      </x:c>
    </x:row>
    <x:row r="2">
      <x:c r="A2" s="54" t="s">
        <x:v>24</x:v>
      </x:c>
      <x:c r="B2" s="55">
        <x:v>1596</x:v>
      </x:c>
      <x:c r="C2" s="55">
        <x:v>398</x:v>
      </x:c>
      <x:c r="D2" s="56">
        <x:v>0.24937343358396</x:v>
      </x:c>
      <x:c r="E2" s="55">
        <x:v>63</x:v>
      </x:c>
      <x:c r="F2" s="56">
        <x:v>0.15829145728643201</x:v>
      </x:c>
      <x:c r="G2" s="120">
        <x:v>2772</x:v>
      </x:c>
      <x:c r="H2" s="120">
        <x:v>6.9648241206030201</x:v>
      </x:c>
      <x:c r="I2" s="120">
        <x:v>1.73684210526316</x:v>
      </x:c>
      <x:c r="J2" s="120">
        <x:v>44</x:v>
      </x:c>
      <x:c r="K2" s="59">
        <x:v>29.900000000000901</x:v>
      </x:c>
      <x:c r="L2" s="59">
        <x:v>94.116541353383496</x:v>
      </x:c>
      <x:c r="M2" s="60">
        <x:v>1.7055137844611501</x:v>
      </x:c>
      <x:c r="N2" s="60">
        <x:v>1.9141604010025099</x:v>
      </x:c>
    </x:row>
    <x:row r="3">
      <x:c r="A3" s="68" t="s">
        <x:v>25</x:v>
      </x:c>
      <x:c r="B3" s="69">
        <x:v>1600</x:v>
      </x:c>
      <x:c r="C3" s="69">
        <x:v>281</x:v>
      </x:c>
      <x:c r="D3" s="70">
        <x:v>0.175625</x:v>
      </x:c>
      <x:c r="E3" s="69">
        <x:v>89</x:v>
      </x:c>
      <x:c r="F3" s="70">
        <x:v>0.31672597864768698</x:v>
      </x:c>
      <x:c r="G3" s="121">
        <x:v>3916</x:v>
      </x:c>
      <x:c r="H3" s="121">
        <x:v>13.9359430604982</x:v>
      </x:c>
      <x:c r="I3" s="121">
        <x:v>2.4474999999999998</x:v>
      </x:c>
      <x:c r="J3" s="121">
        <x:v>44</x:v>
      </x:c>
      <x:c r="K3" s="73">
        <x:v>32.900000000000901</x:v>
      </x:c>
      <x:c r="L3" s="73">
        <x:v>93.087500000000006</x:v>
      </x:c>
      <x:c r="M3" s="74">
        <x:v>2.5274999999999999</x:v>
      </x:c>
      <x:c r="N3" s="74">
        <x:v>1.8631249999999999</x:v>
      </x:c>
    </x:row>
    <x:row r="4">
      <x:c r="A4" s="8" t="s">
        <x:v>26</x:v>
      </x:c>
      <x:c r="B4" s="21">
        <x:v>487</x:v>
      </x:c>
      <x:c r="C4" s="21">
        <x:v>185</x:v>
      </x:c>
      <x:c r="D4" s="26">
        <x:v>0.37987679671457902</x:v>
      </x:c>
      <x:c r="E4" s="21">
        <x:v>65</x:v>
      </x:c>
      <x:c r="F4" s="26">
        <x:v>0.35135135135135098</x:v>
      </x:c>
      <x:c r="G4" s="122">
        <x:v>2210</x:v>
      </x:c>
      <x:c r="H4" s="122">
        <x:v>11.945945945945899</x:v>
      </x:c>
      <x:c r="I4" s="122">
        <x:v>4.5379876796714598</x:v>
      </x:c>
      <x:c r="J4" s="122">
        <x:v>34</x:v>
      </x:c>
      <x:c r="K4" s="30">
        <x:v>29.8999999999998</x:v>
      </x:c>
      <x:c r="L4" s="30">
        <x:v>100</x:v>
      </x:c>
      <x:c r="M4" s="38">
        <x:v>1.66735112936345</x:v>
      </x:c>
      <x:c r="N4" s="38">
        <x:v>1</x:v>
      </x:c>
    </x:row>
    <x:row r="5">
      <x:c r="A5" s="8" t="s">
        <x:v>27</x:v>
      </x:c>
      <x:c r="B5" s="21">
        <x:v>445</x:v>
      </x:c>
      <x:c r="C5" s="21">
        <x:v>122</x:v>
      </x:c>
      <x:c r="D5" s="26">
        <x:v>0.27415730337078698</x:v>
      </x:c>
      <x:c r="E5" s="21">
        <x:v>43</x:v>
      </x:c>
      <x:c r="F5" s="26">
        <x:v>0.35245901639344301</x:v>
      </x:c>
      <x:c r="G5" s="122">
        <x:v>1462</x:v>
      </x:c>
      <x:c r="H5" s="122">
        <x:v>11.983606557377099</x:v>
      </x:c>
      <x:c r="I5" s="122">
        <x:v>3.2853932584269701</x:v>
      </x:c>
      <x:c r="J5" s="122">
        <x:v>34</x:v>
      </x:c>
      <x:c r="K5" s="30">
        <x:v>33.8999999999998</x:v>
      </x:c>
      <x:c r="L5" s="30">
        <x:v>100</x:v>
      </x:c>
      <x:c r="M5" s="38">
        <x:v>3.0651685393258399</x:v>
      </x:c>
      <x:c r="N5" s="38">
        <x:v>1</x:v>
      </x:c>
    </x:row>
    <x:row r="6">
      <x:c r="A6" s="8" t="s">
        <x:v>28</x:v>
      </x:c>
      <x:c r="B6" s="21">
        <x:v>300</x:v>
      </x:c>
      <x:c r="C6" s="21">
        <x:v>92</x:v>
      </x:c>
      <x:c r="D6" s="26">
        <x:v>0.30666666666666698</x:v>
      </x:c>
      <x:c r="E6" s="21">
        <x:v>30</x:v>
      </x:c>
      <x:c r="F6" s="26">
        <x:v>0.32608695652173902</x:v>
      </x:c>
      <x:c r="G6" s="122">
        <x:v>1050</x:v>
      </x:c>
      <x:c r="H6" s="122">
        <x:v>11.413043478260899</x:v>
      </x:c>
      <x:c r="I6" s="122">
        <x:v>3.5</x:v>
      </x:c>
      <x:c r="J6" s="122">
        <x:v>35</x:v>
      </x:c>
      <x:c r="K6" s="30">
        <x:v>34.700000000000102</x:v>
      </x:c>
      <x:c r="L6" s="30">
        <x:v>100</x:v>
      </x:c>
      <x:c r="M6" s="38">
        <x:v>2.2533333333333299</x:v>
      </x:c>
      <x:c r="N6" s="38">
        <x:v>1</x:v>
      </x:c>
    </x:row>
    <x:row r="7">
      <x:c r="A7" s="8" t="s">
        <x:v>29</x:v>
      </x:c>
      <x:c r="B7" s="21">
        <x:v>218</x:v>
      </x:c>
      <x:c r="C7" s="21">
        <x:v>84</x:v>
      </x:c>
      <x:c r="D7" s="26">
        <x:v>0.38532110091743099</x:v>
      </x:c>
      <x:c r="E7" s="21">
        <x:v>30</x:v>
      </x:c>
      <x:c r="F7" s="26">
        <x:v>0.35714285714285698</x:v>
      </x:c>
      <x:c r="G7" s="122">
        <x:v>1020</x:v>
      </x:c>
      <x:c r="H7" s="122">
        <x:v>12.1428571428571</x:v>
      </x:c>
      <x:c r="I7" s="122">
        <x:v>4.6788990825688099</x:v>
      </x:c>
      <x:c r="J7" s="122">
        <x:v>34</x:v>
      </x:c>
      <x:c r="K7" s="30">
        <x:v>34.699999999999903</x:v>
      </x:c>
      <x:c r="L7" s="30">
        <x:v>100</x:v>
      </x:c>
      <x:c r="M7" s="38">
        <x:v>1.9724770642201801</x:v>
      </x:c>
      <x:c r="N7" s="38">
        <x:v>1</x:v>
      </x:c>
    </x:row>
    <x:row r="8">
      <x:c r="A8" s="68" t="s">
        <x:v>30</x:v>
      </x:c>
      <x:c r="B8" s="69">
        <x:v>1458</x:v>
      </x:c>
      <x:c r="C8" s="69">
        <x:v>80</x:v>
      </x:c>
      <x:c r="D8" s="70">
        <x:v>5.4869684499314099E-2</x:v>
      </x:c>
      <x:c r="E8" s="69">
        <x:v>21</x:v>
      </x:c>
      <x:c r="F8" s="70">
        <x:v>0.26250000000000001</x:v>
      </x:c>
      <x:c r="G8" s="121">
        <x:v>924</x:v>
      </x:c>
      <x:c r="H8" s="121">
        <x:v>11.55</x:v>
      </x:c>
      <x:c r="I8" s="121">
        <x:v>0.63374485596707797</x:v>
      </x:c>
      <x:c r="J8" s="121">
        <x:v>44</x:v>
      </x:c>
      <x:c r="K8" s="73">
        <x:v>32.900000000000901</x:v>
      </x:c>
      <x:c r="L8" s="73">
        <x:v>92.880658436214006</x:v>
      </x:c>
      <x:c r="M8" s="74">
        <x:v>2.7085048010973898</x:v>
      </x:c>
      <x:c r="N8" s="74">
        <x:v>2.1659807956104302</x:v>
      </x:c>
    </x:row>
    <x:row r="9">
      <x:c r="A9" s="8" t="s">
        <x:v>31</x:v>
      </x:c>
      <x:c r="B9" s="21">
        <x:v>183</x:v>
      </x:c>
      <x:c r="C9" s="21">
        <x:v>76</x:v>
      </x:c>
      <x:c r="D9" s="26">
        <x:v>0.415300546448087</x:v>
      </x:c>
      <x:c r="E9" s="21">
        <x:v>25</x:v>
      </x:c>
      <x:c r="F9" s="26">
        <x:v>0.32894736842105299</x:v>
      </x:c>
      <x:c r="G9" s="122">
        <x:v>875</x:v>
      </x:c>
      <x:c r="H9" s="122">
        <x:v>11.5131578947368</x:v>
      </x:c>
      <x:c r="I9" s="122">
        <x:v>4.7814207650273204</x:v>
      </x:c>
      <x:c r="J9" s="122">
        <x:v>35</x:v>
      </x:c>
      <x:c r="K9" s="30">
        <x:v>39.899999999999899</x:v>
      </x:c>
      <x:c r="L9" s="30">
        <x:v>100</x:v>
      </x:c>
      <x:c r="M9" s="38">
        <x:v>1.7158469945355199</x:v>
      </x:c>
      <x:c r="N9" s="38">
        <x:v>1</x:v>
      </x:c>
    </x:row>
    <x:row r="10">
      <x:c r="A10" s="8" t="s">
        <x:v>32</x:v>
      </x:c>
      <x:c r="B10" s="21">
        <x:v>269</x:v>
      </x:c>
      <x:c r="C10" s="21">
        <x:v>75</x:v>
      </x:c>
      <x:c r="D10" s="26">
        <x:v>0.27881040892193298</x:v>
      </x:c>
      <x:c r="E10" s="21">
        <x:v>33</x:v>
      </x:c>
      <x:c r="F10" s="26">
        <x:v>0.44</x:v>
      </x:c>
      <x:c r="G10" s="122">
        <x:v>1485</x:v>
      </x:c>
      <x:c r="H10" s="122">
        <x:v>19.8</x:v>
      </x:c>
      <x:c r="I10" s="122">
        <x:v>5.5204460966542799</x:v>
      </x:c>
      <x:c r="J10" s="122">
        <x:v>45</x:v>
      </x:c>
      <x:c r="K10" s="30">
        <x:v>34</x:v>
      </x:c>
      <x:c r="L10" s="30">
        <x:v>100</x:v>
      </x:c>
      <x:c r="M10" s="38">
        <x:v>3.5501858736059502</x:v>
      </x:c>
      <x:c r="N10" s="38">
        <x:v>1</x:v>
      </x:c>
    </x:row>
    <x:row r="11">
      <x:c r="A11" s="8" t="s">
        <x:v>33</x:v>
      </x:c>
      <x:c r="B11" s="21">
        <x:v>229</x:v>
      </x:c>
      <x:c r="C11" s="21">
        <x:v>65</x:v>
      </x:c>
      <x:c r="D11" s="26">
        <x:v>0.28384279475982499</x:v>
      </x:c>
      <x:c r="E11" s="21">
        <x:v>31</x:v>
      </x:c>
      <x:c r="F11" s="26">
        <x:v>0.47692307692307701</x:v>
      </x:c>
      <x:c r="G11" s="122">
        <x:v>1085</x:v>
      </x:c>
      <x:c r="H11" s="122">
        <x:v>16.692307692307701</x:v>
      </x:c>
      <x:c r="I11" s="122">
        <x:v>4.7379912663755501</x:v>
      </x:c>
      <x:c r="J11" s="122">
        <x:v>35</x:v>
      </x:c>
      <x:c r="K11" s="30">
        <x:v>29.3000000000001</x:v>
      </x:c>
      <x:c r="L11" s="30">
        <x:v>99.956331877729298</x:v>
      </x:c>
      <x:c r="M11" s="38">
        <x:v>2.0786026200873402</x:v>
      </x:c>
      <x:c r="N11" s="38">
        <x:v>1.01310043668122</x:v>
      </x:c>
    </x:row>
    <x:row r="12">
      <x:c r="A12" s="8" t="s">
        <x:v>34</x:v>
      </x:c>
      <x:c r="B12" s="21">
        <x:v>301</x:v>
      </x:c>
      <x:c r="C12" s="21">
        <x:v>63</x:v>
      </x:c>
      <x:c r="D12" s="26">
        <x:v>0.209302325581395</x:v>
      </x:c>
      <x:c r="E12" s="21">
        <x:v>21</x:v>
      </x:c>
      <x:c r="F12" s="26">
        <x:v>0.33333333333333298</x:v>
      </x:c>
      <x:c r="G12" s="122">
        <x:v>735</x:v>
      </x:c>
      <x:c r="H12" s="122">
        <x:v>11.6666666666667</x:v>
      </x:c>
      <x:c r="I12" s="122">
        <x:v>2.4418604651162799</x:v>
      </x:c>
      <x:c r="J12" s="122">
        <x:v>35</x:v>
      </x:c>
      <x:c r="K12" s="30">
        <x:v>33.8999999999998</x:v>
      </x:c>
      <x:c r="L12" s="30">
        <x:v>100</x:v>
      </x:c>
      <x:c r="M12" s="38">
        <x:v>3.3953488372092999</x:v>
      </x:c>
      <x:c r="N12" s="38">
        <x:v>1</x:v>
      </x:c>
    </x:row>
    <x:row r="13">
      <x:c r="A13" s="8" t="s">
        <x:v>35</x:v>
      </x:c>
      <x:c r="B13" s="21">
        <x:v>428</x:v>
      </x:c>
      <x:c r="C13" s="21">
        <x:v>62</x:v>
      </x:c>
      <x:c r="D13" s="26">
        <x:v>0.144859813084112</x:v>
      </x:c>
      <x:c r="E13" s="21">
        <x:v>15</x:v>
      </x:c>
      <x:c r="F13" s="26">
        <x:v>0.241935483870968</x:v>
      </x:c>
      <x:c r="G13" s="122">
        <x:v>525</x:v>
      </x:c>
      <x:c r="H13" s="122">
        <x:v>8.4677419354838701</x:v>
      </x:c>
      <x:c r="I13" s="122">
        <x:v>1.22663551401869</x:v>
      </x:c>
      <x:c r="J13" s="122">
        <x:v>35</x:v>
      </x:c>
      <x:c r="K13" s="30">
        <x:v>59.900000000000396</x:v>
      </x:c>
      <x:c r="L13" s="30">
        <x:v>99.988317757009298</x:v>
      </x:c>
      <x:c r="M13" s="38">
        <x:v>3.3504672897196301</x:v>
      </x:c>
      <x:c r="N13" s="38">
        <x:v>1.0023364485981301</x:v>
      </x:c>
    </x:row>
    <x:row r="14">
      <x:c r="A14" s="8" t="s">
        <x:v>36</x:v>
      </x:c>
      <x:c r="B14" s="21">
        <x:v>224</x:v>
      </x:c>
      <x:c r="C14" s="21">
        <x:v>61</x:v>
      </x:c>
      <x:c r="D14" s="26">
        <x:v>0.27232142857142899</x:v>
      </x:c>
      <x:c r="E14" s="21">
        <x:v>22</x:v>
      </x:c>
      <x:c r="F14" s="26">
        <x:v>0.36065573770491799</x:v>
      </x:c>
      <x:c r="G14" s="122">
        <x:v>990</x:v>
      </x:c>
      <x:c r="H14" s="122">
        <x:v>16.229508196721302</x:v>
      </x:c>
      <x:c r="I14" s="122">
        <x:v>4.4196428571428603</x:v>
      </x:c>
      <x:c r="J14" s="122">
        <x:v>45</x:v>
      </x:c>
      <x:c r="K14" s="30">
        <x:v>49</x:v>
      </x:c>
      <x:c r="L14" s="30">
        <x:v>100</x:v>
      </x:c>
      <x:c r="M14" s="38">
        <x:v>2.3348214285714302</x:v>
      </x:c>
      <x:c r="N14" s="38">
        <x:v>1</x:v>
      </x:c>
    </x:row>
    <x:row r="15">
      <x:c r="A15" s="8" t="s">
        <x:v>37</x:v>
      </x:c>
      <x:c r="B15" s="21">
        <x:v>239</x:v>
      </x:c>
      <x:c r="C15" s="21">
        <x:v>49</x:v>
      </x:c>
      <x:c r="D15" s="26">
        <x:v>0.205020920502092</x:v>
      </x:c>
      <x:c r="E15" s="21">
        <x:v>23</x:v>
      </x:c>
      <x:c r="F15" s="26">
        <x:v>0.469387755102041</x:v>
      </x:c>
      <x:c r="G15" s="122">
        <x:v>644</x:v>
      </x:c>
      <x:c r="H15" s="122">
        <x:v>13.1428571428571</x:v>
      </x:c>
      <x:c r="I15" s="122">
        <x:v>2.6945606694560702</x:v>
      </x:c>
      <x:c r="J15" s="122">
        <x:v>28</x:v>
      </x:c>
      <x:c r="K15" s="30">
        <x:v>39.8999999999998</x:v>
      </x:c>
      <x:c r="L15" s="30">
        <x:v>100</x:v>
      </x:c>
      <x:c r="M15" s="38">
        <x:v>3.5146443514644399</x:v>
      </x:c>
      <x:c r="N15" s="38">
        <x:v>1</x:v>
      </x:c>
    </x:row>
    <x:row r="16">
      <x:c r="A16" s="8" t="s">
        <x:v>38</x:v>
      </x:c>
      <x:c r="B16" s="21">
        <x:v>68</x:v>
      </x:c>
      <x:c r="C16" s="21">
        <x:v>29</x:v>
      </x:c>
      <x:c r="D16" s="26">
        <x:v>0.42647058823529399</x:v>
      </x:c>
      <x:c r="E16" s="21">
        <x:v>11</x:v>
      </x:c>
      <x:c r="F16" s="26">
        <x:v>0.37931034482758602</x:v>
      </x:c>
      <x:c r="G16" s="122">
        <x:v>374</x:v>
      </x:c>
      <x:c r="H16" s="122">
        <x:v>12.8965517241379</x:v>
      </x:c>
      <x:c r="I16" s="122">
        <x:v>5.5</x:v>
      </x:c>
      <x:c r="J16" s="122">
        <x:v>34</x:v>
      </x:c>
      <x:c r="K16" s="30">
        <x:v>34.9</x:v>
      </x:c>
      <x:c r="L16" s="30">
        <x:v>100</x:v>
      </x:c>
      <x:c r="M16" s="38">
        <x:v>2.0147058823529398</x:v>
      </x:c>
      <x:c r="N16" s="38">
        <x:v>1</x:v>
      </x:c>
    </x:row>
    <x:row r="17">
      <x:c r="A17" s="8" t="s">
        <x:v>39</x:v>
      </x:c>
      <x:c r="B17" s="21">
        <x:v>213</x:v>
      </x:c>
      <x:c r="C17" s="21">
        <x:v>24</x:v>
      </x:c>
      <x:c r="D17" s="26">
        <x:v>0.11267605633802801</x:v>
      </x:c>
      <x:c r="E17" s="21">
        <x:v>11</x:v>
      </x:c>
      <x:c r="F17" s="26">
        <x:v>0.45833333333333298</x:v>
      </x:c>
      <x:c r="G17" s="122">
        <x:v>352</x:v>
      </x:c>
      <x:c r="H17" s="122">
        <x:v>14.6666666666667</x:v>
      </x:c>
      <x:c r="I17" s="122">
        <x:v>1.6525821596244099</x:v>
      </x:c>
      <x:c r="J17" s="122">
        <x:v>32</x:v>
      </x:c>
      <x:c r="K17" s="30">
        <x:v>29.3000000000001</x:v>
      </x:c>
      <x:c r="L17" s="30">
        <x:v>100</x:v>
      </x:c>
      <x:c r="M17" s="38">
        <x:v>2.1502347417840402</x:v>
      </x:c>
      <x:c r="N17" s="38">
        <x:v>1</x:v>
      </x:c>
    </x:row>
    <x:row r="18">
      <x:c r="A18" s="8" t="s">
        <x:v>40</x:v>
      </x:c>
      <x:c r="B18" s="21">
        <x:v>109</x:v>
      </x:c>
      <x:c r="C18" s="21">
        <x:v>19</x:v>
      </x:c>
      <x:c r="D18" s="26">
        <x:v>0.17431192660550501</x:v>
      </x:c>
      <x:c r="E18" s="21">
        <x:v>0</x:v>
      </x:c>
      <x:c r="F18" s="26">
        <x:v>0</x:v>
      </x:c>
      <x:c r="G18" s="122">
        <x:v>0</x:v>
      </x:c>
      <x:c r="H18" s="122">
        <x:v>0</x:v>
      </x:c>
      <x:c r="I18" s="122">
        <x:v>0</x:v>
      </x:c>
      <x:c r="J18" s="126"/>
      <x:c r="K18" s="30">
        <x:v>12.9</x:v>
      </x:c>
      <x:c r="L18" s="30">
        <x:v>77.798165137614703</x:v>
      </x:c>
      <x:c r="M18" s="38">
        <x:v>1</x:v>
      </x:c>
      <x:c r="N18" s="38">
        <x:v>3.6788990825688099</x:v>
      </x:c>
    </x:row>
    <x:row r="19">
      <x:c r="A19" s="8" t="s">
        <x:v>41</x:v>
      </x:c>
      <x:c r="B19" s="21">
        <x:v>71</x:v>
      </x:c>
      <x:c r="C19" s="21">
        <x:v>17</x:v>
      </x:c>
      <x:c r="D19" s="26">
        <x:v>0.23943661971831001</x:v>
      </x:c>
      <x:c r="E19" s="21">
        <x:v>3</x:v>
      </x:c>
      <x:c r="F19" s="26">
        <x:v>0.17647058823529399</x:v>
      </x:c>
      <x:c r="G19" s="122">
        <x:v>105</x:v>
      </x:c>
      <x:c r="H19" s="122">
        <x:v>6.1764705882352997</x:v>
      </x:c>
      <x:c r="I19" s="122">
        <x:v>1.47887323943662</x:v>
      </x:c>
      <x:c r="J19" s="122">
        <x:v>35</x:v>
      </x:c>
      <x:c r="K19" s="30">
        <x:v>21.9</x:v>
      </x:c>
      <x:c r="L19" s="30">
        <x:v>90</x:v>
      </x:c>
      <x:c r="M19" s="38">
        <x:v>1.1830985915493</x:v>
      </x:c>
      <x:c r="N19" s="38">
        <x:v>4.1971830985915499</x:v>
      </x:c>
    </x:row>
    <x:row r="20">
      <x:c r="A20" s="8" t="s">
        <x:v>42</x:v>
      </x:c>
      <x:c r="B20" s="21">
        <x:v>168</x:v>
      </x:c>
      <x:c r="C20" s="21">
        <x:v>14</x:v>
      </x:c>
      <x:c r="D20" s="26">
        <x:v>8.3333333333333301E-2</x:v>
      </x:c>
      <x:c r="E20" s="21">
        <x:v>1</x:v>
      </x:c>
      <x:c r="F20" s="26">
        <x:v>7.1428571428571397E-2</x:v>
      </x:c>
      <x:c r="G20" s="122">
        <x:v>35</x:v>
      </x:c>
      <x:c r="H20" s="122">
        <x:v>2.5</x:v>
      </x:c>
      <x:c r="I20" s="122">
        <x:v>0.20833333333333301</x:v>
      </x:c>
      <x:c r="J20" s="122">
        <x:v>35</x:v>
      </x:c>
      <x:c r="K20" s="30">
        <x:v>21.900000000000102</x:v>
      </x:c>
      <x:c r="L20" s="30">
        <x:v>62.0833333333333</x:v>
      </x:c>
      <x:c r="M20" s="38">
        <x:v>1.4226190476190499</x:v>
      </x:c>
      <x:c r="N20" s="38">
        <x:v>5.8630952380952399</x:v>
      </x:c>
    </x:row>
    <x:row r="21">
      <x:c r="A21" s="8" t="s">
        <x:v>43</x:v>
      </x:c>
      <x:c r="B21" s="21">
        <x:v>145</x:v>
      </x:c>
      <x:c r="C21" s="21">
        <x:v>13</x:v>
      </x:c>
      <x:c r="D21" s="26">
        <x:v>8.9655172413793102E-2</x:v>
      </x:c>
      <x:c r="E21" s="21">
        <x:v>2</x:v>
      </x:c>
      <x:c r="F21" s="26">
        <x:v>0.15384615384615399</x:v>
      </x:c>
      <x:c r="G21" s="122">
        <x:v>40</x:v>
      </x:c>
      <x:c r="H21" s="122">
        <x:v>3.0769230769230802</x:v>
      </x:c>
      <x:c r="I21" s="122">
        <x:v>0.27586206896551702</x:v>
      </x:c>
      <x:c r="J21" s="122">
        <x:v>20</x:v>
      </x:c>
      <x:c r="K21" s="30">
        <x:v>24.6999999999999</x:v>
      </x:c>
      <x:c r="L21" s="30">
        <x:v>82.344827586206904</x:v>
      </x:c>
      <x:c r="M21" s="38">
        <x:v>4.9586206896551701</x:v>
      </x:c>
      <x:c r="N21" s="38">
        <x:v>3.4896551724137899</x:v>
      </x:c>
    </x:row>
    <x:row r="22">
      <x:c r="A22" s="8" t="s">
        <x:v>44</x:v>
      </x:c>
      <x:c r="B22" s="21">
        <x:v>147</x:v>
      </x:c>
      <x:c r="C22" s="21">
        <x:v>9</x:v>
      </x:c>
      <x:c r="D22" s="26">
        <x:v>6.1224489795918401E-2</x:v>
      </x:c>
      <x:c r="E22" s="21">
        <x:v>3</x:v>
      </x:c>
      <x:c r="F22" s="26">
        <x:v>0.33333333333333298</x:v>
      </x:c>
      <x:c r="G22" s="122">
        <x:v>70.02</x:v>
      </x:c>
      <x:c r="H22" s="122">
        <x:v>7.78</x:v>
      </x:c>
      <x:c r="I22" s="122">
        <x:v>0.476326530612245</x:v>
      </x:c>
      <x:c r="J22" s="122">
        <x:v>23.34</x:v>
      </x:c>
      <x:c r="K22" s="30">
        <x:v>21.900000000000102</x:v>
      </x:c>
      <x:c r="L22" s="30">
        <x:v>80.850340136054399</x:v>
      </x:c>
      <x:c r="M22" s="38">
        <x:v>1.40816326530612</x:v>
      </x:c>
      <x:c r="N22" s="38">
        <x:v>3.6258503401360498</x:v>
      </x:c>
    </x:row>
    <x:row r="23">
      <x:c r="A23" s="8" t="s">
        <x:v>45</x:v>
      </x:c>
      <x:c r="B23" s="21">
        <x:v>45</x:v>
      </x:c>
      <x:c r="C23" s="21">
        <x:v>8</x:v>
      </x:c>
      <x:c r="D23" s="26">
        <x:v>0.17777777777777801</x:v>
      </x:c>
      <x:c r="E23" s="21">
        <x:v>3</x:v>
      </x:c>
      <x:c r="F23" s="26">
        <x:v>0.375</x:v>
      </x:c>
      <x:c r="G23" s="122">
        <x:v>105</x:v>
      </x:c>
      <x:c r="H23" s="122">
        <x:v>13.125</x:v>
      </x:c>
      <x:c r="I23" s="122">
        <x:v>2.3333333333333299</x:v>
      </x:c>
      <x:c r="J23" s="122">
        <x:v>35</x:v>
      </x:c>
      <x:c r="K23" s="30">
        <x:v>29.3</x:v>
      </x:c>
      <x:c r="L23" s="30">
        <x:v>100</x:v>
      </x:c>
      <x:c r="M23" s="38">
        <x:v>2.5555555555555598</x:v>
      </x:c>
      <x:c r="N23" s="38">
        <x:v>1</x:v>
      </x:c>
    </x:row>
    <x:row r="24">
      <x:c r="A24" s="8" t="s">
        <x:v>46</x:v>
      </x:c>
      <x:c r="B24" s="21">
        <x:v>129</x:v>
      </x:c>
      <x:c r="C24" s="21">
        <x:v>7</x:v>
      </x:c>
      <x:c r="D24" s="26">
        <x:v>5.4263565891472902E-2</x:v>
      </x:c>
      <x:c r="E24" s="21">
        <x:v>3</x:v>
      </x:c>
      <x:c r="F24" s="26">
        <x:v>0.42857142857142899</x:v>
      </x:c>
      <x:c r="G24" s="122">
        <x:v>105</x:v>
      </x:c>
      <x:c r="H24" s="122">
        <x:v>15</x:v>
      </x:c>
      <x:c r="I24" s="122">
        <x:v>0.81395348837209303</x:v>
      </x:c>
      <x:c r="J24" s="122">
        <x:v>35</x:v>
      </x:c>
      <x:c r="K24" s="30">
        <x:v>39.9</x:v>
      </x:c>
      <x:c r="L24" s="30">
        <x:v>100</x:v>
      </x:c>
      <x:c r="M24" s="38">
        <x:v>3.7906976744185998</x:v>
      </x:c>
      <x:c r="N24" s="38">
        <x:v>1</x:v>
      </x:c>
    </x:row>
    <x:row r="25">
      <x:c r="A25" s="8" t="s">
        <x:v>47</x:v>
      </x:c>
      <x:c r="B25" s="21">
        <x:v>109</x:v>
      </x:c>
      <x:c r="C25" s="21">
        <x:v>6</x:v>
      </x:c>
      <x:c r="D25" s="26">
        <x:v>5.5045871559633003E-2</x:v>
      </x:c>
      <x:c r="E25" s="21">
        <x:v>0</x:v>
      </x:c>
      <x:c r="F25" s="26">
        <x:v>0</x:v>
      </x:c>
      <x:c r="G25" s="122">
        <x:v>0</x:v>
      </x:c>
      <x:c r="H25" s="122">
        <x:v>0</x:v>
      </x:c>
      <x:c r="I25" s="122">
        <x:v>0</x:v>
      </x:c>
      <x:c r="J25" s="126"/>
      <x:c r="K25" s="30">
        <x:v>21.9</x:v>
      </x:c>
      <x:c r="L25" s="30">
        <x:v>77.798165137614703</x:v>
      </x:c>
      <x:c r="M25" s="38">
        <x:v>2.0642201834862401</x:v>
      </x:c>
      <x:c r="N25" s="38">
        <x:v>3.6788990825688099</x:v>
      </x:c>
    </x:row>
    <x:row r="26">
      <x:c r="A26" s="8" t="s">
        <x:v>48</x:v>
      </x:c>
      <x:c r="B26" s="21">
        <x:v>168</x:v>
      </x:c>
      <x:c r="C26" s="21">
        <x:v>5</x:v>
      </x:c>
      <x:c r="D26" s="26">
        <x:v>2.9761904761904798E-2</x:v>
      </x:c>
      <x:c r="E26" s="21">
        <x:v>1</x:v>
      </x:c>
      <x:c r="F26" s="26">
        <x:v>0.2</x:v>
      </x:c>
      <x:c r="G26" s="122">
        <x:v>35</x:v>
      </x:c>
      <x:c r="H26" s="122">
        <x:v>7</x:v>
      </x:c>
      <x:c r="I26" s="122">
        <x:v>0.20833333333333301</x:v>
      </x:c>
      <x:c r="J26" s="122">
        <x:v>35</x:v>
      </x:c>
      <x:c r="K26" s="30">
        <x:v>22.900000000000102</x:v>
      </x:c>
      <x:c r="L26" s="30">
        <x:v>62.0833333333333</x:v>
      </x:c>
      <x:c r="M26" s="38">
        <x:v>3.875</x:v>
      </x:c>
      <x:c r="N26" s="38">
        <x:v>5.8630952380952399</x:v>
      </x:c>
    </x:row>
    <x:row r="27">
      <x:c r="A27" s="8" t="s">
        <x:v>49</x:v>
      </x:c>
      <x:c r="B27" s="21">
        <x:v>95</x:v>
      </x:c>
      <x:c r="C27" s="21">
        <x:v>5</x:v>
      </x:c>
      <x:c r="D27" s="26">
        <x:v>5.2631578947368397E-2</x:v>
      </x:c>
      <x:c r="E27" s="21">
        <x:v>1</x:v>
      </x:c>
      <x:c r="F27" s="26">
        <x:v>0.2</x:v>
      </x:c>
      <x:c r="G27" s="122">
        <x:v>27.5</x:v>
      </x:c>
      <x:c r="H27" s="122">
        <x:v>5.5</x:v>
      </x:c>
      <x:c r="I27" s="122">
        <x:v>0.28947368421052599</x:v>
      </x:c>
      <x:c r="J27" s="122">
        <x:v>27.5</x:v>
      </x:c>
      <x:c r="K27" s="30">
        <x:v>19.899999999999999</x:v>
      </x:c>
      <x:c r="L27" s="30">
        <x:v>90.473684210526301</x:v>
      </x:c>
      <x:c r="M27" s="38">
        <x:v>1.08421052631579</x:v>
      </x:c>
      <x:c r="N27" s="38">
        <x:v>5.6</x:v>
      </x:c>
    </x:row>
    <x:row r="28">
      <x:c r="A28" s="8" t="s">
        <x:v>50</x:v>
      </x:c>
      <x:c r="B28" s="21">
        <x:v>39</x:v>
      </x:c>
      <x:c r="C28" s="21">
        <x:v>5</x:v>
      </x:c>
      <x:c r="D28" s="26">
        <x:v>0.128205128205128</x:v>
      </x:c>
      <x:c r="E28" s="21">
        <x:v>2</x:v>
      </x:c>
      <x:c r="F28" s="26">
        <x:v>0.4</x:v>
      </x:c>
      <x:c r="G28" s="122">
        <x:v>68</x:v>
      </x:c>
      <x:c r="H28" s="122">
        <x:v>13.6</x:v>
      </x:c>
      <x:c r="I28" s="122">
        <x:v>1.7435897435897401</x:v>
      </x:c>
      <x:c r="J28" s="122">
        <x:v>34</x:v>
      </x:c>
      <x:c r="K28" s="30">
        <x:v>27.9</x:v>
      </x:c>
      <x:c r="L28" s="30">
        <x:v>100</x:v>
      </x:c>
      <x:c r="M28" s="38">
        <x:v>4.7435897435897401</x:v>
      </x:c>
      <x:c r="N28" s="38">
        <x:v>1</x:v>
      </x:c>
    </x:row>
    <x:row r="29">
      <x:c r="A29" s="8" t="s">
        <x:v>51</x:v>
      </x:c>
      <x:c r="B29" s="21">
        <x:v>109</x:v>
      </x:c>
      <x:c r="C29" s="21">
        <x:v>3</x:v>
      </x:c>
      <x:c r="D29" s="26">
        <x:v>2.7522935779816501E-2</x:v>
      </x:c>
      <x:c r="E29" s="21">
        <x:v>0</x:v>
      </x:c>
      <x:c r="F29" s="26">
        <x:v>0</x:v>
      </x:c>
      <x:c r="G29" s="122">
        <x:v>0</x:v>
      </x:c>
      <x:c r="H29" s="122">
        <x:v>0</x:v>
      </x:c>
      <x:c r="I29" s="122">
        <x:v>0</x:v>
      </x:c>
      <x:c r="J29" s="126"/>
      <x:c r="K29" s="30">
        <x:v>26.8</x:v>
      </x:c>
      <x:c r="L29" s="30">
        <x:v>77.798165137614703</x:v>
      </x:c>
      <x:c r="M29" s="38">
        <x:v>3.7614678899082601</x:v>
      </x:c>
      <x:c r="N29" s="38">
        <x:v>3.6788990825688099</x:v>
      </x:c>
    </x:row>
    <x:row r="30">
      <x:c r="A30" s="8" t="s">
        <x:v>52</x:v>
      </x:c>
      <x:c r="B30" s="21">
        <x:v>76</x:v>
      </x:c>
      <x:c r="C30" s="21">
        <x:v>2</x:v>
      </x:c>
      <x:c r="D30" s="26">
        <x:v>2.6315789473684199E-2</x:v>
      </x:c>
      <x:c r="E30" s="21">
        <x:v>1</x:v>
      </x:c>
      <x:c r="F30" s="26">
        <x:v>0.5</x:v>
      </x:c>
      <x:c r="G30" s="122">
        <x:v>27.5</x:v>
      </x:c>
      <x:c r="H30" s="122">
        <x:v>13.75</x:v>
      </x:c>
      <x:c r="I30" s="122">
        <x:v>0.36184210526315802</x:v>
      </x:c>
      <x:c r="J30" s="122">
        <x:v>27.5</x:v>
      </x:c>
      <x:c r="K30" s="30">
        <x:v>21.9</x:v>
      </x:c>
      <x:c r="L30" s="30">
        <x:v>87.302631578947398</x:v>
      </x:c>
      <x:c r="M30" s="38">
        <x:v>2.1052631578947398</x:v>
      </x:c>
      <x:c r="N30" s="38">
        <x:v>5.3947368421052602</x:v>
      </x:c>
    </x:row>
    <x:row r="31">
      <x:c r="A31" s="8" t="s">
        <x:v>53</x:v>
      </x:c>
      <x:c r="B31" s="21">
        <x:v>91</x:v>
      </x:c>
      <x:c r="C31" s="21">
        <x:v>2</x:v>
      </x:c>
      <x:c r="D31" s="26">
        <x:v>2.1978021978022001E-2</x:v>
      </x:c>
      <x:c r="E31" s="21">
        <x:v>1</x:v>
      </x:c>
      <x:c r="F31" s="26">
        <x:v>0.5</x:v>
      </x:c>
      <x:c r="G31" s="122">
        <x:v>27.5</x:v>
      </x:c>
      <x:c r="H31" s="122">
        <x:v>13.75</x:v>
      </x:c>
      <x:c r="I31" s="122">
        <x:v>0.30219780219780201</x:v>
      </x:c>
      <x:c r="J31" s="122">
        <x:v>27.5</x:v>
      </x:c>
      <x:c r="K31" s="30">
        <x:v>21.9</x:v>
      </x:c>
      <x:c r="L31" s="30">
        <x:v>84.285714285714306</x:v>
      </x:c>
      <x:c r="M31" s="38">
        <x:v>2.0879120879120898</x:v>
      </x:c>
      <x:c r="N31" s="38">
        <x:v>7.47252747252747</x:v>
      </x:c>
    </x:row>
    <x:row r="32">
      <x:c r="A32" s="8" t="s">
        <x:v>54</x:v>
      </x:c>
      <x:c r="B32" s="21">
        <x:v>147</x:v>
      </x:c>
      <x:c r="C32" s="21">
        <x:v>2</x:v>
      </x:c>
      <x:c r="D32" s="26">
        <x:v>1.3605442176870699E-2</x:v>
      </x:c>
      <x:c r="E32" s="21">
        <x:v>1</x:v>
      </x:c>
      <x:c r="F32" s="26">
        <x:v>0.5</x:v>
      </x:c>
      <x:c r="G32" s="122">
        <x:v>23.34</x:v>
      </x:c>
      <x:c r="H32" s="122">
        <x:v>11.67</x:v>
      </x:c>
      <x:c r="I32" s="122">
        <x:v>0.15877551020408201</x:v>
      </x:c>
      <x:c r="J32" s="122">
        <x:v>23.34</x:v>
      </x:c>
      <x:c r="K32" s="30">
        <x:v>21.900000000000102</x:v>
      </x:c>
      <x:c r="L32" s="30">
        <x:v>80.850340136054399</x:v>
      </x:c>
      <x:c r="M32" s="38">
        <x:v>1.40816326530612</x:v>
      </x:c>
      <x:c r="N32" s="38">
        <x:v>3.6258503401360498</x:v>
      </x:c>
    </x:row>
    <x:row r="33">
      <x:c r="A33" s="8" t="s">
        <x:v>55</x:v>
      </x:c>
      <x:c r="B33" s="21">
        <x:v>13</x:v>
      </x:c>
      <x:c r="C33" s="21">
        <x:v>0</x:v>
      </x:c>
      <x:c r="D33" s="26">
        <x:v>0</x:v>
      </x:c>
      <x:c r="E33" s="21">
        <x:v>0</x:v>
      </x:c>
      <x:c r="F33" s="34"/>
      <x:c r="G33" s="122">
        <x:v>0</x:v>
      </x:c>
      <x:c r="H33" s="126"/>
      <x:c r="I33" s="122">
        <x:v>0</x:v>
      </x:c>
      <x:c r="J33" s="126"/>
      <x:c r="K33" s="30">
        <x:v>26.8</x:v>
      </x:c>
      <x:c r="L33" s="30">
        <x:v>83.846153846153797</x:v>
      </x:c>
      <x:c r="M33" s="38">
        <x:v>4.3076923076923102</x:v>
      </x:c>
      <x:c r="N33" s="38">
        <x:v>4.3076923076923102</x:v>
      </x:c>
    </x:row>
    <x:row r="34">
      <x:c r="A34" s="8" t="s">
        <x:v>56</x:v>
      </x:c>
      <x:c r="B34" s="21">
        <x:v>13</x:v>
      </x:c>
      <x:c r="C34" s="21">
        <x:v>0</x:v>
      </x:c>
      <x:c r="D34" s="26">
        <x:v>0</x:v>
      </x:c>
      <x:c r="E34" s="21">
        <x:v>0</x:v>
      </x:c>
      <x:c r="F34" s="34"/>
      <x:c r="G34" s="122">
        <x:v>0</x:v>
      </x:c>
      <x:c r="H34" s="126"/>
      <x:c r="I34" s="122">
        <x:v>0</x:v>
      </x:c>
      <x:c r="J34" s="126"/>
      <x:c r="K34" s="30">
        <x:v>21.9</x:v>
      </x:c>
      <x:c r="L34" s="30">
        <x:v>83.846153846153797</x:v>
      </x:c>
      <x:c r="M34" s="38">
        <x:v>2.0769230769230802</x:v>
      </x:c>
      <x:c r="N34" s="38">
        <x:v>4.3076923076923102</x:v>
      </x:c>
    </x:row>
    <x:row r="35">
      <x:c r="A35" s="8" t="s">
        <x:v>57</x:v>
      </x:c>
      <x:c r="B35" s="21">
        <x:v>13</x:v>
      </x:c>
      <x:c r="C35" s="21">
        <x:v>0</x:v>
      </x:c>
      <x:c r="D35" s="26">
        <x:v>0</x:v>
      </x:c>
      <x:c r="E35" s="21">
        <x:v>0</x:v>
      </x:c>
      <x:c r="F35" s="34"/>
      <x:c r="G35" s="122">
        <x:v>0</x:v>
      </x:c>
      <x:c r="H35" s="126"/>
      <x:c r="I35" s="122">
        <x:v>0</x:v>
      </x:c>
      <x:c r="J35" s="126"/>
      <x:c r="K35" s="30">
        <x:v>12.9</x:v>
      </x:c>
      <x:c r="L35" s="30">
        <x:v>83.846153846153797</x:v>
      </x:c>
      <x:c r="M35" s="38">
        <x:v>1</x:v>
      </x:c>
      <x:c r="N35" s="38">
        <x:v>4.3076923076923102</x:v>
      </x:c>
    </x:row>
  </x:sheetData>
  <x:conditionalFormatting sqref="C2:C35">
    <x:cfRule type="dataBar" priority="1">
      <x:dataBar>
        <x:cfvo type="min"/>
        <x:cfvo type="max"/>
        <x:color rgb="FF6BAED6"/>
      </x:dataBar>
      <x:extLst>
        <x:ext xmlns:x14="http://schemas.microsoft.com/office/spreadsheetml/2009/9/main" uri="{B025F937-C7B1-47D3-B67F-A62EFF666E3E}">
          <x14:id>{C19DEAE6-7636-016E-7271-275F170DFDA1}</x14:id>
        </x:ext>
      </x:extLst>
    </x:cfRule>
  </x:conditionalFormatting>
  <x:conditionalFormatting sqref="H2:H35">
    <x:cfRule type="dataBar" priority="2">
      <x:dataBar>
        <x:cfvo type="min"/>
        <x:cfvo type="max"/>
        <x:color rgb="FF74C69D"/>
      </x:dataBar>
      <x:extLst>
        <x:ext xmlns:x14="http://schemas.microsoft.com/office/spreadsheetml/2009/9/main" uri="{B025F937-C7B1-47D3-B67F-A62EFF666E3E}">
          <x14:id>{CA101021-F211-B9DF-5601-F5E4672FE996}</x14:id>
        </x:ext>
      </x:extLst>
    </x:cfRule>
  </x:conditionalFormatting>
  <x:pageMargins left="0.7" right="0.7" top="0.75" bottom="0.75" header="0.3" footer="0.3"/>
  <x:tableParts count="1">
    <x:tablePart xmlns:r="http://schemas.openxmlformats.org/officeDocument/2006/relationships" r:id="Rd55439f55a78439b"/>
  </x:tableParts>
  <x:extLst>
    <x:ext xmlns:x14="http://schemas.microsoft.com/office/spreadsheetml/2009/9/main" xmlns:xm="http://schemas.microsoft.com/office/excel/2006/main" uri="{78C0D931-6437-407d-A8EE-F0AAD7539E65}">
      <x14:conditionalFormattings>
        <x14:conditionalFormatting>
          <x14:cfRule type="dataBar" priority="1" id="{C19DEAE6-7636-016E-7271-275F170DFDA1}">
            <x14:dataBar gradient="1">
              <x14:cfvo type="min"/>
              <x14:cfvo type="max"/>
              <x14:fillColor rgb="FF6BAED6"/>
            </x14:dataBar>
          </x14:cfRule>
          <xm:sqref>C2:C35</xm:sqref>
        </x14:conditionalFormatting>
        <x14:conditionalFormatting>
          <x14:cfRule type="dataBar" priority="2" id="{CA101021-F211-B9DF-5601-F5E4672FE996}">
            <x14:dataBar gradient="1">
              <x14:cfvo type="min"/>
              <x14:cfvo type="max"/>
              <x14:fillColor rgb="FF74C69D"/>
            </x14:dataBar>
          </x14:cfRule>
          <xm:sqref>H2:H35</xm:sqref>
        </x14:conditionalFormatting>
      </x14:conditionalFormattings>
    </x:ext>
  </x:extLst>
</x:worksheet>
</file>

<file path=xl/worksheets/sheet4.xml><?xml version="1.0" encoding="utf-8"?>
<x:worksheet xmlns:x="http://schemas.openxmlformats.org/spreadsheetml/2006/main">
  <x:sheetFormatPr baseColWidth="10" defaultRowHeight="16"/>
  <x:cols>
    <x:col min="1" max="1" width="16" hidden="0" customWidth="1"/>
    <x:col min="2" max="2" width="20" hidden="0" customWidth="1"/>
    <x:col min="3" max="3" width="16" hidden="0" customWidth="1"/>
    <x:col min="4" max="5" width="18.1640625" customWidth="1"/>
    <x:col min="6" max="6" width="20" hidden="0" customWidth="1"/>
    <x:col min="7" max="7" width="18" hidden="0" customWidth="1"/>
    <x:col min="8" max="8" width="21" hidden="0" customWidth="1"/>
    <x:col min="9" max="9" width="25" hidden="0" customWidth="1"/>
    <x:col min="10" max="10" width="21" hidden="0" customWidth="1"/>
    <x:col min="4" max="4" width="18" hidden="0" customWidth="1"/>
    <x:col min="5" max="5" width="19" hidden="0" customWidth="1"/>
  </x:cols>
  <x:sheetData>
    <x:row r="1" ht="38" customHeight="1">
      <x:c r="A1" s="15" t="s">
        <x:v>58</x:v>
      </x:c>
      <x:c r="B1" s="15" t="s">
        <x:v>59</x:v>
      </x:c>
      <x:c r="C1" s="15" t="s">
        <x:v>60</x:v>
      </x:c>
      <x:c r="D1" s="15" t="s">
        <x:v>61</x:v>
      </x:c>
      <x:c r="E1" s="15" t="s">
        <x:v>62</x:v>
      </x:c>
      <x:c r="F1" s="15" t="s">
        <x:v>63</x:v>
      </x:c>
      <x:c r="G1" s="15" t="s">
        <x:v>64</x:v>
      </x:c>
      <x:c r="H1" s="15" t="s">
        <x:v>65</x:v>
      </x:c>
      <x:c r="I1" s="15" t="s">
        <x:v>66</x:v>
      </x:c>
      <x:c r="J1" s="15" t="s">
        <x:v>67</x:v>
      </x:c>
    </x:row>
    <x:row r="2">
      <x:c r="A2" s="88" t="s">
        <x:v>30</x:v>
      </x:c>
      <x:c r="B2" s="89">
        <x:v>1278</x:v>
      </x:c>
      <x:c r="C2" s="89">
        <x:v>274</x:v>
      </x:c>
      <x:c r="D2" s="89">
        <x:v>57</x:v>
      </x:c>
      <x:c r="E2" s="90">
        <x:v>0.214397496087637</x:v>
      </x:c>
      <x:c r="F2" s="90">
        <x:v>4.4600938967136197E-2</x:v>
      </x:c>
      <x:c r="G2" s="91">
        <x:v>4.8070175438596499</x:v>
      </x:c>
      <x:c r="H2" s="90">
        <x:v>0.83881064162754304</x:v>
      </x:c>
      <x:c r="I2" s="90">
        <x:v>0.16118935837245699</x:v>
      </x:c>
      <x:c r="J2" s="90">
        <x:v>1</x:v>
      </x:c>
    </x:row>
    <x:row r="3">
      <x:c r="A3" s="88" t="s">
        <x:v>25</x:v>
      </x:c>
      <x:c r="B3" s="89">
        <x:v>1251</x:v>
      </x:c>
      <x:c r="C3" s="89">
        <x:v>266</x:v>
      </x:c>
      <x:c r="D3" s="89">
        <x:v>112</x:v>
      </x:c>
      <x:c r="E3" s="90">
        <x:v>0.21262989608313301</x:v>
      </x:c>
      <x:c r="F3" s="90">
        <x:v>8.9528377298161502E-2</x:v>
      </x:c>
      <x:c r="G3" s="91">
        <x:v>2.375</x:v>
      </x:c>
      <x:c r="H3" s="90">
        <x:v>0.97202238209432501</x:v>
      </x:c>
      <x:c r="I3" s="90">
        <x:v>2.79776179056755E-2</x:v>
      </x:c>
      <x:c r="J3" s="90">
        <x:v>1</x:v>
      </x:c>
    </x:row>
    <x:row r="4">
      <x:c r="A4" s="8" t="s">
        <x:v>27</x:v>
      </x:c>
      <x:c r="B4" s="21">
        <x:v>183</x:v>
      </x:c>
      <x:c r="C4" s="21">
        <x:v>13</x:v>
      </x:c>
      <x:c r="D4" s="21">
        <x:v>25</x:v>
      </x:c>
      <x:c r="E4" s="26">
        <x:v>7.10382513661202E-2</x:v>
      </x:c>
      <x:c r="F4" s="26">
        <x:v>0.13661202185792401</x:v>
      </x:c>
      <x:c r="G4" s="82">
        <x:v>0.52</x:v>
      </x:c>
      <x:c r="H4" s="26">
        <x:v>0</x:v>
      </x:c>
      <x:c r="I4" s="26">
        <x:v>0</x:v>
      </x:c>
      <x:c r="J4" s="26">
        <x:v>1</x:v>
      </x:c>
    </x:row>
    <x:row r="5">
      <x:c r="A5" s="8" t="s">
        <x:v>35</x:v>
      </x:c>
      <x:c r="B5" s="21">
        <x:v>173</x:v>
      </x:c>
      <x:c r="C5" s="21">
        <x:v>25</x:v>
      </x:c>
      <x:c r="D5" s="21">
        <x:v>10</x:v>
      </x:c>
      <x:c r="E5" s="26">
        <x:v>0.144508670520231</x:v>
      </x:c>
      <x:c r="F5" s="26">
        <x:v>5.7803468208092498E-2</x:v>
      </x:c>
      <x:c r="G5" s="82">
        <x:v>2.5</x:v>
      </x:c>
      <x:c r="H5" s="26">
        <x:v>5.78034682080925E-3</x:v>
      </x:c>
      <x:c r="I5" s="26">
        <x:v>0</x:v>
      </x:c>
      <x:c r="J5" s="26">
        <x:v>1</x:v>
      </x:c>
    </x:row>
    <x:row r="6">
      <x:c r="A6" s="8" t="s">
        <x:v>26</x:v>
      </x:c>
      <x:c r="B6" s="21">
        <x:v>170</x:v>
      </x:c>
      <x:c r="C6" s="21">
        <x:v>17</x:v>
      </x:c>
      <x:c r="D6" s="21">
        <x:v>43</x:v>
      </x:c>
      <x:c r="E6" s="26">
        <x:v>0.1</x:v>
      </x:c>
      <x:c r="F6" s="26">
        <x:v>0.252941176470588</x:v>
      </x:c>
      <x:c r="G6" s="82">
        <x:v>0.39534883720930197</x:v>
      </x:c>
      <x:c r="H6" s="26">
        <x:v>0</x:v>
      </x:c>
      <x:c r="I6" s="26">
        <x:v>0</x:v>
      </x:c>
      <x:c r="J6" s="26">
        <x:v>0</x:v>
      </x:c>
    </x:row>
    <x:row r="7">
      <x:c r="A7" s="8" t="s">
        <x:v>34</x:v>
      </x:c>
      <x:c r="B7" s="21">
        <x:v>125</x:v>
      </x:c>
      <x:c r="C7" s="21">
        <x:v>10</x:v>
      </x:c>
      <x:c r="D7" s="21">
        <x:v>14</x:v>
      </x:c>
      <x:c r="E7" s="26">
        <x:v>0.08</x:v>
      </x:c>
      <x:c r="F7" s="26">
        <x:v>0.112</x:v>
      </x:c>
      <x:c r="G7" s="82">
        <x:v>0.71428571428571397</x:v>
      </x:c>
      <x:c r="H7" s="26">
        <x:v>0</x:v>
      </x:c>
      <x:c r="I7" s="26">
        <x:v>0</x:v>
      </x:c>
      <x:c r="J7" s="26">
        <x:v>1</x:v>
      </x:c>
    </x:row>
    <x:row r="8">
      <x:c r="A8" s="8" t="s">
        <x:v>33</x:v>
      </x:c>
      <x:c r="B8" s="21">
        <x:v>120</x:v>
      </x:c>
      <x:c r="C8" s="21">
        <x:v>3</x:v>
      </x:c>
      <x:c r="D8" s="21">
        <x:v>25</x:v>
      </x:c>
      <x:c r="E8" s="26">
        <x:v>2.5000000000000001E-2</x:v>
      </x:c>
      <x:c r="F8" s="26">
        <x:v>0.20833333333333301</x:v>
      </x:c>
      <x:c r="G8" s="82">
        <x:v>0.12</x:v>
      </x:c>
      <x:c r="H8" s="26">
        <x:v>8.3333333333333297E-3</x:v>
      </x:c>
      <x:c r="I8" s="26">
        <x:v>0</x:v>
      </x:c>
      <x:c r="J8" s="26">
        <x:v>0</x:v>
      </x:c>
    </x:row>
    <x:row r="9">
      <x:c r="A9" s="8" t="s">
        <x:v>39</x:v>
      </x:c>
      <x:c r="B9" s="21">
        <x:v>119</x:v>
      </x:c>
      <x:c r="C9" s="21">
        <x:v>3</x:v>
      </x:c>
      <x:c r="D9" s="21">
        <x:v>13</x:v>
      </x:c>
      <x:c r="E9" s="26">
        <x:v>2.5210084033613401E-2</x:v>
      </x:c>
      <x:c r="F9" s="26">
        <x:v>0.109243697478992</x:v>
      </x:c>
      <x:c r="G9" s="82">
        <x:v>0.230769230769231</x:v>
      </x:c>
      <x:c r="H9" s="26">
        <x:v>0</x:v>
      </x:c>
      <x:c r="I9" s="26">
        <x:v>0</x:v>
      </x:c>
      <x:c r="J9" s="26">
        <x:v>0</x:v>
      </x:c>
    </x:row>
    <x:row r="10">
      <x:c r="A10" s="8" t="s">
        <x:v>32</x:v>
      </x:c>
      <x:c r="B10" s="21">
        <x:v>115</x:v>
      </x:c>
      <x:c r="C10" s="21">
        <x:v>8</x:v>
      </x:c>
      <x:c r="D10" s="21">
        <x:v>22</x:v>
      </x:c>
      <x:c r="E10" s="26">
        <x:v>6.9565217391304404E-2</x:v>
      </x:c>
      <x:c r="F10" s="26">
        <x:v>0.19130434782608699</x:v>
      </x:c>
      <x:c r="G10" s="82">
        <x:v>0.36363636363636398</x:v>
      </x:c>
      <x:c r="H10" s="26">
        <x:v>0</x:v>
      </x:c>
      <x:c r="I10" s="26">
        <x:v>0</x:v>
      </x:c>
      <x:c r="J10" s="26">
        <x:v>1</x:v>
      </x:c>
    </x:row>
    <x:row r="11">
      <x:c r="A11" s="8" t="s">
        <x:v>42</x:v>
      </x:c>
      <x:c r="B11" s="21">
        <x:v>105</x:v>
      </x:c>
      <x:c r="C11" s="21">
        <x:v>8</x:v>
      </x:c>
      <x:c r="D11" s="21">
        <x:v>6</x:v>
      </x:c>
      <x:c r="E11" s="26">
        <x:v>7.6190476190476197E-2</x:v>
      </x:c>
      <x:c r="F11" s="26">
        <x:v>5.7142857142857099E-2</x:v>
      </x:c>
      <x:c r="G11" s="82">
        <x:v>1.3333333333333299</x:v>
      </x:c>
      <x:c r="H11" s="26">
        <x:v>8.5714285714285701E-2</x:v>
      </x:c>
      <x:c r="I11" s="26">
        <x:v>0.91428571428571404</x:v>
      </x:c>
      <x:c r="J11" s="26">
        <x:v>0</x:v>
      </x:c>
    </x:row>
    <x:row r="12">
      <x:c r="A12" s="8" t="s">
        <x:v>48</x:v>
      </x:c>
      <x:c r="B12" s="21">
        <x:v>105</x:v>
      </x:c>
      <x:c r="C12" s="21">
        <x:v>8</x:v>
      </x:c>
      <x:c r="D12" s="21">
        <x:v>1</x:v>
      </x:c>
      <x:c r="E12" s="26">
        <x:v>7.6190476190476197E-2</x:v>
      </x:c>
      <x:c r="F12" s="26">
        <x:v>9.5238095238095299E-3</x:v>
      </x:c>
      <x:c r="G12" s="82">
        <x:v>8</x:v>
      </x:c>
      <x:c r="H12" s="26">
        <x:v>8.5714285714285701E-2</x:v>
      </x:c>
      <x:c r="I12" s="26">
        <x:v>0.91428571428571404</x:v>
      </x:c>
      <x:c r="J12" s="26">
        <x:v>0</x:v>
      </x:c>
    </x:row>
    <x:row r="13">
      <x:c r="A13" s="8" t="s">
        <x:v>37</x:v>
      </x:c>
      <x:c r="B13" s="21">
        <x:v>102</x:v>
      </x:c>
      <x:c r="C13" s="21">
        <x:v>15</x:v>
      </x:c>
      <x:c r="D13" s="21">
        <x:v>10</x:v>
      </x:c>
      <x:c r="E13" s="26">
        <x:v>0.14705882352941199</x:v>
      </x:c>
      <x:c r="F13" s="26">
        <x:v>9.8039215686274495E-2</x:v>
      </x:c>
      <x:c r="G13" s="82">
        <x:v>1.5</x:v>
      </x:c>
      <x:c r="H13" s="26">
        <x:v>0</x:v>
      </x:c>
      <x:c r="I13" s="26">
        <x:v>0</x:v>
      </x:c>
      <x:c r="J13" s="26">
        <x:v>1</x:v>
      </x:c>
    </x:row>
    <x:row r="14">
      <x:c r="A14" s="8" t="s">
        <x:v>43</x:v>
      </x:c>
      <x:c r="B14" s="21">
        <x:v>87</x:v>
      </x:c>
      <x:c r="C14" s="21">
        <x:v>1</x:v>
      </x:c>
      <x:c r="D14" s="21">
        <x:v>8</x:v>
      </x:c>
      <x:c r="E14" s="26">
        <x:v>1.1494252873563199E-2</x:v>
      </x:c>
      <x:c r="F14" s="26">
        <x:v>9.1954022988505801E-2</x:v>
      </x:c>
      <x:c r="G14" s="82">
        <x:v>0.125</x:v>
      </x:c>
      <x:c r="H14" s="26">
        <x:v>0.60919540229885105</x:v>
      </x:c>
      <x:c r="I14" s="26">
        <x:v>0.35632183908046</x:v>
      </x:c>
      <x:c r="J14" s="26">
        <x:v>0</x:v>
      </x:c>
    </x:row>
    <x:row r="15">
      <x:c r="A15" s="8" t="s">
        <x:v>54</x:v>
      </x:c>
      <x:c r="B15" s="21">
        <x:v>86</x:v>
      </x:c>
      <x:c r="C15" s="21">
        <x:v>1</x:v>
      </x:c>
      <x:c r="D15" s="21">
        <x:v>1</x:v>
      </x:c>
      <x:c r="E15" s="26">
        <x:v>1.16279069767442E-2</x:v>
      </x:c>
      <x:c r="F15" s="26">
        <x:v>1.16279069767442E-2</x:v>
      </x:c>
      <x:c r="G15" s="82">
        <x:v>1</x:v>
      </x:c>
      <x:c r="H15" s="26">
        <x:v>0.581395348837209</x:v>
      </x:c>
      <x:c r="I15" s="26">
        <x:v>0.40697674418604701</x:v>
      </x:c>
      <x:c r="J15" s="26">
        <x:v>0</x:v>
      </x:c>
    </x:row>
    <x:row r="16">
      <x:c r="A16" s="8" t="s">
        <x:v>44</x:v>
      </x:c>
      <x:c r="B16" s="21">
        <x:v>86</x:v>
      </x:c>
      <x:c r="C16" s="21">
        <x:v>1</x:v>
      </x:c>
      <x:c r="D16" s="21">
        <x:v>3</x:v>
      </x:c>
      <x:c r="E16" s="26">
        <x:v>1.16279069767442E-2</x:v>
      </x:c>
      <x:c r="F16" s="26">
        <x:v>3.4883720930232599E-2</x:v>
      </x:c>
      <x:c r="G16" s="82">
        <x:v>0.33333333333333298</x:v>
      </x:c>
      <x:c r="H16" s="26">
        <x:v>0.581395348837209</x:v>
      </x:c>
      <x:c r="I16" s="26">
        <x:v>0.40697674418604701</x:v>
      </x:c>
      <x:c r="J16" s="26">
        <x:v>0</x:v>
      </x:c>
    </x:row>
    <x:row r="17">
      <x:c r="A17" s="8" t="s">
        <x:v>28</x:v>
      </x:c>
      <x:c r="B17" s="21">
        <x:v>85</x:v>
      </x:c>
      <x:c r="C17" s="21">
        <x:v>14</x:v>
      </x:c>
      <x:c r="D17" s="21">
        <x:v>10</x:v>
      </x:c>
      <x:c r="E17" s="26">
        <x:v>0.16470588235294101</x:v>
      </x:c>
      <x:c r="F17" s="26">
        <x:v>0.11764705882352899</x:v>
      </x:c>
      <x:c r="G17" s="82">
        <x:v>1.4</x:v>
      </x:c>
      <x:c r="H17" s="26">
        <x:v>0</x:v>
      </x:c>
      <x:c r="I17" s="26">
        <x:v>0</x:v>
      </x:c>
      <x:c r="J17" s="26">
        <x:v>1</x:v>
      </x:c>
    </x:row>
    <x:row r="18">
      <x:c r="A18" s="8" t="s">
        <x:v>49</x:v>
      </x:c>
      <x:c r="B18" s="21">
        <x:v>61</x:v>
      </x:c>
      <x:c r="C18" s="21">
        <x:v>5</x:v>
      </x:c>
      <x:c r="D18" s="21">
        <x:v>2</x:v>
      </x:c>
      <x:c r="E18" s="26">
        <x:v>8.1967213114754106E-2</x:v>
      </x:c>
      <x:c r="F18" s="26">
        <x:v>3.2786885245901599E-2</x:v>
      </x:c>
      <x:c r="G18" s="82">
        <x:v>2.5</x:v>
      </x:c>
      <x:c r="H18" s="26">
        <x:v>9.8360655737704902E-2</x:v>
      </x:c>
      <x:c r="I18" s="26">
        <x:v>0.90163934426229497</x:v>
      </x:c>
      <x:c r="J18" s="26">
        <x:v>0</x:v>
      </x:c>
    </x:row>
    <x:row r="19">
      <x:c r="A19" s="8" t="s">
        <x:v>53</x:v>
      </x:c>
      <x:c r="B19" s="21">
        <x:v>60</x:v>
      </x:c>
      <x:c r="C19" s="21">
        <x:v>4</x:v>
      </x:c>
      <x:c r="D19" s="21">
        <x:v>1</x:v>
      </x:c>
      <x:c r="E19" s="26">
        <x:v>6.6666666666666693E-2</x:v>
      </x:c>
      <x:c r="F19" s="26">
        <x:v>1.6666666666666701E-2</x:v>
      </x:c>
      <x:c r="G19" s="82">
        <x:v>4</x:v>
      </x:c>
      <x:c r="H19" s="26">
        <x:v>0</x:v>
      </x:c>
      <x:c r="I19" s="26">
        <x:v>1</x:v>
      </x:c>
      <x:c r="J19" s="26">
        <x:v>0</x:v>
      </x:c>
    </x:row>
    <x:row r="20">
      <x:c r="A20" s="8" t="s">
        <x:v>46</x:v>
      </x:c>
      <x:c r="B20" s="21">
        <x:v>57</x:v>
      </x:c>
      <x:c r="C20" s="21">
        <x:v>8</x:v>
      </x:c>
      <x:c r="D20" s="21">
        <x:v>0</x:v>
      </x:c>
      <x:c r="E20" s="26">
        <x:v>0.140350877192982</x:v>
      </x:c>
      <x:c r="F20" s="26">
        <x:v>0</x:v>
      </x:c>
      <x:c r="G20" s="83"/>
      <x:c r="H20" s="26">
        <x:v>0</x:v>
      </x:c>
      <x:c r="I20" s="26">
        <x:v>0</x:v>
      </x:c>
      <x:c r="J20" s="26">
        <x:v>1</x:v>
      </x:c>
    </x:row>
    <x:row r="21">
      <x:c r="A21" s="8" t="s">
        <x:v>29</x:v>
      </x:c>
      <x:c r="B21" s="21">
        <x:v>51</x:v>
      </x:c>
      <x:c r="C21" s="21">
        <x:v>7</x:v>
      </x:c>
      <x:c r="D21" s="21">
        <x:v>6</x:v>
      </x:c>
      <x:c r="E21" s="26">
        <x:v>0.13725490196078399</x:v>
      </x:c>
      <x:c r="F21" s="26">
        <x:v>0.11764705882352899</x:v>
      </x:c>
      <x:c r="G21" s="82">
        <x:v>1.1666666666666701</x:v>
      </x:c>
      <x:c r="H21" s="26">
        <x:v>0</x:v>
      </x:c>
      <x:c r="I21" s="26">
        <x:v>0</x:v>
      </x:c>
      <x:c r="J21" s="26">
        <x:v>1</x:v>
      </x:c>
    </x:row>
    <x:row r="22">
      <x:c r="A22" s="8" t="s">
        <x:v>52</x:v>
      </x:c>
      <x:c r="B22" s="21">
        <x:v>50</x:v>
      </x:c>
      <x:c r="C22" s="21">
        <x:v>2</x:v>
      </x:c>
      <x:c r="D22" s="21">
        <x:v>0</x:v>
      </x:c>
      <x:c r="E22" s="26">
        <x:v>0.04</x:v>
      </x:c>
      <x:c r="F22" s="26">
        <x:v>0</x:v>
      </x:c>
      <x:c r="G22" s="83"/>
      <x:c r="H22" s="26">
        <x:v>0.36</x:v>
      </x:c>
      <x:c r="I22" s="26">
        <x:v>0.64</x:v>
      </x:c>
      <x:c r="J22" s="26">
        <x:v>0</x:v>
      </x:c>
    </x:row>
    <x:row r="23">
      <x:c r="A23" s="8" t="s">
        <x:v>36</x:v>
      </x:c>
      <x:c r="B23" s="21">
        <x:v>49</x:v>
      </x:c>
      <x:c r="C23" s="21">
        <x:v>9</x:v>
      </x:c>
      <x:c r="D23" s="21">
        <x:v>0</x:v>
      </x:c>
      <x:c r="E23" s="26">
        <x:v>0.183673469387755</x:v>
      </x:c>
      <x:c r="F23" s="26">
        <x:v>0</x:v>
      </x:c>
      <x:c r="G23" s="83"/>
      <x:c r="H23" s="26">
        <x:v>0</x:v>
      </x:c>
      <x:c r="I23" s="26">
        <x:v>0</x:v>
      </x:c>
      <x:c r="J23" s="26">
        <x:v>1</x:v>
      </x:c>
    </x:row>
    <x:row r="24">
      <x:c r="A24" s="8" t="s">
        <x:v>51</x:v>
      </x:c>
      <x:c r="B24" s="21">
        <x:v>47</x:v>
      </x:c>
      <x:c r="C24" s="21">
        <x:v>0</x:v>
      </x:c>
      <x:c r="D24" s="21">
        <x:v>0</x:v>
      </x:c>
      <x:c r="E24" s="26">
        <x:v>0</x:v>
      </x:c>
      <x:c r="F24" s="26">
        <x:v>0</x:v>
      </x:c>
      <x:c r="G24" s="83"/>
      <x:c r="H24" s="26">
        <x:v>2.1276595744680899E-2</x:v>
      </x:c>
      <x:c r="I24" s="26">
        <x:v>0.97872340425531901</x:v>
      </x:c>
      <x:c r="J24" s="26">
        <x:v>0</x:v>
      </x:c>
    </x:row>
    <x:row r="25">
      <x:c r="A25" s="8" t="s">
        <x:v>40</x:v>
      </x:c>
      <x:c r="B25" s="21">
        <x:v>47</x:v>
      </x:c>
      <x:c r="C25" s="21">
        <x:v>0</x:v>
      </x:c>
      <x:c r="D25" s="21">
        <x:v>4</x:v>
      </x:c>
      <x:c r="E25" s="26">
        <x:v>0</x:v>
      </x:c>
      <x:c r="F25" s="26">
        <x:v>8.5106382978723402E-2</x:v>
      </x:c>
      <x:c r="G25" s="82">
        <x:v>0</x:v>
      </x:c>
      <x:c r="H25" s="26">
        <x:v>2.1276595744680899E-2</x:v>
      </x:c>
      <x:c r="I25" s="26">
        <x:v>0.97872340425531901</x:v>
      </x:c>
      <x:c r="J25" s="26">
        <x:v>0</x:v>
      </x:c>
    </x:row>
    <x:row r="26">
      <x:c r="A26" s="8" t="s">
        <x:v>47</x:v>
      </x:c>
      <x:c r="B26" s="21">
        <x:v>47</x:v>
      </x:c>
      <x:c r="C26" s="21">
        <x:v>0</x:v>
      </x:c>
      <x:c r="D26" s="21">
        <x:v>1</x:v>
      </x:c>
      <x:c r="E26" s="26">
        <x:v>0</x:v>
      </x:c>
      <x:c r="F26" s="26">
        <x:v>2.1276595744680899E-2</x:v>
      </x:c>
      <x:c r="G26" s="82">
        <x:v>0</x:v>
      </x:c>
      <x:c r="H26" s="26">
        <x:v>2.1276595744680899E-2</x:v>
      </x:c>
      <x:c r="I26" s="26">
        <x:v>0.97872340425531901</x:v>
      </x:c>
      <x:c r="J26" s="26">
        <x:v>0</x:v>
      </x:c>
    </x:row>
    <x:row r="27">
      <x:c r="A27" s="8" t="s">
        <x:v>31</x:v>
      </x:c>
      <x:c r="B27" s="21">
        <x:v>36</x:v>
      </x:c>
      <x:c r="C27" s="21">
        <x:v>8</x:v>
      </x:c>
      <x:c r="D27" s="21">
        <x:v>5</x:v>
      </x:c>
      <x:c r="E27" s="26">
        <x:v>0.22222222222222199</x:v>
      </x:c>
      <x:c r="F27" s="26">
        <x:v>0.13888888888888901</x:v>
      </x:c>
      <x:c r="G27" s="82">
        <x:v>1.6</x:v>
      </x:c>
      <x:c r="H27" s="26">
        <x:v>0</x:v>
      </x:c>
      <x:c r="I27" s="26">
        <x:v>0</x:v>
      </x:c>
      <x:c r="J27" s="26">
        <x:v>1</x:v>
      </x:c>
    </x:row>
    <x:row r="28">
      <x:c r="A28" s="8" t="s">
        <x:v>41</x:v>
      </x:c>
      <x:c r="B28" s="21">
        <x:v>36</x:v>
      </x:c>
      <x:c r="C28" s="21">
        <x:v>4</x:v>
      </x:c>
      <x:c r="D28" s="21">
        <x:v>3</x:v>
      </x:c>
      <x:c r="E28" s="26">
        <x:v>0.11111111111111099</x:v>
      </x:c>
      <x:c r="F28" s="26">
        <x:v>8.3333333333333301E-2</x:v>
      </x:c>
      <x:c r="G28" s="82">
        <x:v>1.3333333333333299</x:v>
      </x:c>
      <x:c r="H28" s="26">
        <x:v>0.13888888888888901</x:v>
      </x:c>
      <x:c r="I28" s="26">
        <x:v>0.86111111111111105</x:v>
      </x:c>
      <x:c r="J28" s="26">
        <x:v>0</x:v>
      </x:c>
    </x:row>
    <x:row r="29">
      <x:c r="A29" s="8" t="s">
        <x:v>50</x:v>
      </x:c>
      <x:c r="B29" s="21">
        <x:v>29</x:v>
      </x:c>
      <x:c r="C29" s="21">
        <x:v>0</x:v>
      </x:c>
      <x:c r="D29" s="21">
        <x:v>4</x:v>
      </x:c>
      <x:c r="E29" s="26">
        <x:v>0</x:v>
      </x:c>
      <x:c r="F29" s="26">
        <x:v>0.13793103448275901</x:v>
      </x:c>
      <x:c r="G29" s="82">
        <x:v>0</x:v>
      </x:c>
      <x:c r="H29" s="26">
        <x:v>0</x:v>
      </x:c>
      <x:c r="I29" s="26">
        <x:v>0</x:v>
      </x:c>
      <x:c r="J29" s="26">
        <x:v>0</x:v>
      </x:c>
    </x:row>
    <x:row r="30">
      <x:c r="A30" s="8" t="s">
        <x:v>45</x:v>
      </x:c>
      <x:c r="B30" s="21">
        <x:v>23</x:v>
      </x:c>
      <x:c r="C30" s="21">
        <x:v>0</x:v>
      </x:c>
      <x:c r="D30" s="21">
        <x:v>5</x:v>
      </x:c>
      <x:c r="E30" s="26">
        <x:v>0</x:v>
      </x:c>
      <x:c r="F30" s="26">
        <x:v>0.217391304347826</x:v>
      </x:c>
      <x:c r="G30" s="82">
        <x:v>0</x:v>
      </x:c>
      <x:c r="H30" s="26">
        <x:v>0</x:v>
      </x:c>
      <x:c r="I30" s="26">
        <x:v>0</x:v>
      </x:c>
      <x:c r="J30" s="26">
        <x:v>0</x:v>
      </x:c>
    </x:row>
    <x:row r="31">
      <x:c r="A31" s="8" t="s">
        <x:v>38</x:v>
      </x:c>
      <x:c r="B31" s="21">
        <x:v>19</x:v>
      </x:c>
      <x:c r="C31" s="21">
        <x:v>4</x:v>
      </x:c>
      <x:c r="D31" s="21">
        <x:v>1</x:v>
      </x:c>
      <x:c r="E31" s="26">
        <x:v>0.21052631578947401</x:v>
      </x:c>
      <x:c r="F31" s="26">
        <x:v>5.2631578947368397E-2</x:v>
      </x:c>
      <x:c r="G31" s="82">
        <x:v>4</x:v>
      </x:c>
      <x:c r="H31" s="26">
        <x:v>0</x:v>
      </x:c>
      <x:c r="I31" s="26">
        <x:v>0</x:v>
      </x:c>
      <x:c r="J31" s="26">
        <x:v>1</x:v>
      </x:c>
    </x:row>
    <x:row r="32">
      <x:c r="A32" s="8" t="s">
        <x:v>55</x:v>
      </x:c>
      <x:c r="B32" s="21">
        <x:v>6</x:v>
      </x:c>
      <x:c r="C32" s="21">
        <x:v>0</x:v>
      </x:c>
      <x:c r="D32" s="21">
        <x:v>0</x:v>
      </x:c>
      <x:c r="E32" s="26">
        <x:v>0</x:v>
      </x:c>
      <x:c r="F32" s="26">
        <x:v>0</x:v>
      </x:c>
      <x:c r="G32" s="83"/>
      <x:c r="H32" s="26">
        <x:v>0</x:v>
      </x:c>
      <x:c r="I32" s="26">
        <x:v>1</x:v>
      </x:c>
      <x:c r="J32" s="26">
        <x:v>0</x:v>
      </x:c>
    </x:row>
    <x:row r="33">
      <x:c r="A33" s="8" t="s">
        <x:v>57</x:v>
      </x:c>
      <x:c r="B33" s="21">
        <x:v>6</x:v>
      </x:c>
      <x:c r="C33" s="21">
        <x:v>0</x:v>
      </x:c>
      <x:c r="D33" s="21">
        <x:v>0</x:v>
      </x:c>
      <x:c r="E33" s="26">
        <x:v>0</x:v>
      </x:c>
      <x:c r="F33" s="26">
        <x:v>0</x:v>
      </x:c>
      <x:c r="G33" s="83"/>
      <x:c r="H33" s="26">
        <x:v>0</x:v>
      </x:c>
      <x:c r="I33" s="26">
        <x:v>1</x:v>
      </x:c>
      <x:c r="J33" s="26">
        <x:v>0</x:v>
      </x:c>
    </x:row>
    <x:row r="34">
      <x:c r="A34" s="8" t="s">
        <x:v>56</x:v>
      </x:c>
      <x:c r="B34" s="21">
        <x:v>6</x:v>
      </x:c>
      <x:c r="C34" s="21">
        <x:v>0</x:v>
      </x:c>
      <x:c r="D34" s="21">
        <x:v>0</x:v>
      </x:c>
      <x:c r="E34" s="26">
        <x:v>0</x:v>
      </x:c>
      <x:c r="F34" s="26">
        <x:v>0</x:v>
      </x:c>
      <x:c r="G34" s="83"/>
      <x:c r="H34" s="26">
        <x:v>0</x:v>
      </x:c>
      <x:c r="I34" s="26">
        <x:v>1</x:v>
      </x:c>
      <x:c r="J34" s="26">
        <x:v>0</x:v>
      </x:c>
    </x:row>
  </x:sheetData>
  <x:pageMargins left="0.7" right="0.7" top="0.75" bottom="0.75" header="0.3" footer="0.3"/>
  <x:tableParts count="1">
    <x:tablePart xmlns:r="http://schemas.openxmlformats.org/officeDocument/2006/relationships" r:id="Rc5f74183c8264e5b"/>
  </x:tableParts>
</x:worksheet>
</file>

<file path=xl/worksheets/sheet5.xml><?xml version="1.0" encoding="utf-8"?>
<x:worksheet xmlns:x="http://schemas.openxmlformats.org/spreadsheetml/2006/main">
  <x:sheetFormatPr baseColWidth="10" defaultRowHeight="16"/>
  <x:cols>
    <x:col min="2" max="2" width="28" hidden="0" customWidth="1"/>
    <x:col min="3" max="3" width="25" hidden="0" customWidth="1"/>
    <x:col min="4" max="4" width="30" hidden="0" customWidth="1"/>
    <x:col min="5" max="5" width="22" hidden="0" customWidth="1"/>
    <x:col min="6" max="6" width="20" hidden="0" customWidth="1"/>
    <x:col min="7" max="7" width="20" hidden="0" customWidth="1"/>
    <x:col min="1" max="1" width="34" hidden="0" customWidth="1"/>
  </x:cols>
  <x:sheetData>
    <x:row r="1" ht="34" customHeight="1">
      <x:c r="A1" s="15" t="s">
        <x:v>68</x:v>
      </x:c>
      <x:c r="B1" s="15" t="s">
        <x:v>69</x:v>
      </x:c>
      <x:c r="C1" s="15" t="s">
        <x:v>70</x:v>
      </x:c>
      <x:c r="D1" s="15" t="s">
        <x:v>71</x:v>
      </x:c>
      <x:c r="E1" s="96"/>
      <x:c r="F1" s="96"/>
      <x:c r="G1" s="96"/>
    </x:row>
    <x:row r="2">
      <x:c r="A2" s="104" t="s">
        <x:v>72</x:v>
      </x:c>
      <x:c r="B2" s="105">
        <x:v>398</x:v>
      </x:c>
      <x:c r="C2" s="105">
        <x:v>63</x:v>
      </x:c>
      <x:c r="D2" s="128">
        <x:v>2772</x:v>
      </x:c>
      <x:c r="E2" s="96"/>
      <x:c r="F2" s="96"/>
      <x:c r="G2" s="96"/>
    </x:row>
    <x:row r="3">
      <x:c r="A3" s="8" t="s">
        <x:v>73</x:v>
      </x:c>
      <x:c r="B3" s="30">
        <x:v>315</x:v>
      </x:c>
      <x:c r="C3" s="30">
        <x:v>102.65902004722</x:v>
      </x:c>
      <x:c r="D3" s="122">
        <x:v>4180.0298982991098</x:v>
      </x:c>
      <x:c r="E3" s="96"/>
      <x:c r="F3" s="96"/>
      <x:c r="G3" s="96"/>
    </x:row>
    <x:row r="4">
      <x:c r="A4" s="110" t="s">
        <x:v>74</x:v>
      </x:c>
      <x:c r="B4" s="111">
        <x:v>224.81818181818201</x:v>
      </x:c>
      <x:c r="C4" s="111">
        <x:v>71.568468705811696</x:v>
      </x:c>
      <x:c r="D4" s="129">
        <x:v>2932.7645845071502</x:v>
      </x:c>
      <x:c r="E4" s="96"/>
      <x:c r="F4" s="96"/>
      <x:c r="G4" s="96"/>
    </x:row>
    <x:row r="5">
      <x:c r="A5" s="96"/>
      <x:c r="B5" s="96"/>
      <x:c r="C5" s="96"/>
      <x:c r="D5" s="96"/>
      <x:c r="E5" s="96"/>
      <x:c r="F5" s="96"/>
      <x:c r="G5" s="96"/>
    </x:row>
    <x:row r="6">
      <x:c r="A6" s="100" t="str">
        <x:v>Scenario A — strongest visible alternative</x:v>
      </x:c>
      <x:c r="B6" s="100"/>
      <x:c r="C6" s="96"/>
      <x:c r="D6" s="100" t="str">
        <x:v>Scenario B — empirical redistribution</x:v>
      </x:c>
      <x:c r="E6" s="100"/>
      <x:c r="F6" s="100"/>
      <x:c r="G6" s="100"/>
    </x:row>
    <x:row r="7">
      <x:c r="A7" s="96"/>
      <x:c r="B7" s="96"/>
      <x:c r="C7" s="96"/>
      <x:c r="D7" s="96"/>
      <x:c r="E7" s="96"/>
      <x:c r="F7" s="96"/>
      <x:c r="G7" s="96"/>
    </x:row>
    <x:row r="8">
      <x:c r="A8" s="15" t="s">
        <x:v>12</x:v>
      </x:c>
      <x:c r="B8" s="15" t="s">
        <x:v>75</x:v>
      </x:c>
      <x:c r="C8" s="96"/>
      <x:c r="D8" s="96"/>
      <x:c r="E8" s="96"/>
      <x:c r="F8" s="96"/>
      <x:c r="G8" s="96"/>
    </x:row>
    <x:row r="9">
      <x:c r="A9" s="8" t="s">
        <x:v>25</x:v>
      </x:c>
      <x:c r="B9" s="21">
        <x:v>203</x:v>
      </x:c>
      <x:c r="C9" s="96"/>
      <x:c r="D9" s="15" t="s">
        <x:v>76</x:v>
      </x:c>
      <x:c r="E9" s="15" t="s">
        <x:v>77</x:v>
      </x:c>
      <x:c r="F9" s="15" t="s">
        <x:v>78</x:v>
      </x:c>
      <x:c r="G9" s="15" t="s">
        <x:v>79</x:v>
      </x:c>
    </x:row>
    <x:row r="10">
      <x:c r="A10" s="8" t="s">
        <x:v>26</x:v>
      </x:c>
      <x:c r="B10" s="21">
        <x:v>17</x:v>
      </x:c>
      <x:c r="C10" s="96"/>
      <x:c r="D10" s="8" t="s">
        <x:v>25</x:v>
      </x:c>
      <x:c r="E10" s="30">
        <x:v>95.818181818181799</x:v>
      </x:c>
      <x:c r="F10" s="30">
        <x:v>30.3481074086056</x:v>
      </x:c>
      <x:c r="G10" s="122">
        <x:v>1335.3167259786501</x:v>
      </x:c>
    </x:row>
    <x:row r="11">
      <x:c r="A11" s="8" t="s">
        <x:v>30</x:v>
      </x:c>
      <x:c r="B11" s="21">
        <x:v>15</x:v>
      </x:c>
      <x:c r="C11" s="96"/>
      <x:c r="D11" s="8" t="s">
        <x:v>30</x:v>
      </x:c>
      <x:c r="E11" s="30">
        <x:v>28.181818181818201</x:v>
      </x:c>
      <x:c r="F11" s="30">
        <x:v>7.3977272727272698</x:v>
      </x:c>
      <x:c r="G11" s="122">
        <x:v>325.5</x:v>
      </x:c>
    </x:row>
    <x:row r="12">
      <x:c r="A12" s="8" t="s">
        <x:v>28</x:v>
      </x:c>
      <x:c r="B12" s="21">
        <x:v>13</x:v>
      </x:c>
      <x:c r="C12" s="96"/>
      <x:c r="D12" s="8" t="s">
        <x:v>80</x:v>
      </x:c>
      <x:c r="E12" s="30">
        <x:v>33.818181818181799</x:v>
      </x:c>
      <x:c r="F12" s="30">
        <x:v>11.666971196245299</x:v>
      </x:c>
      <x:c r="G12" s="122">
        <x:v>434.16249685164098</x:v>
      </x:c>
    </x:row>
    <x:row r="13">
      <x:c r="A13" s="8" t="s">
        <x:v>27</x:v>
      </x:c>
      <x:c r="B13" s="21">
        <x:v>13</x:v>
      </x:c>
      <x:c r="C13" s="96"/>
      <x:c r="D13" s="8" t="s">
        <x:v>81</x:v>
      </x:c>
      <x:c r="E13" s="30">
        <x:v>90.181818181818201</x:v>
      </x:c>
      <x:c r="F13" s="30">
        <x:v>0</x:v>
      </x:c>
      <x:c r="G13" s="122">
        <x:v>0</x:v>
      </x:c>
    </x:row>
    <x:row r="14">
      <x:c r="A14" s="8" t="s">
        <x:v>37</x:v>
      </x:c>
      <x:c r="B14" s="21">
        <x:v>11</x:v>
      </x:c>
      <x:c r="C14" s="96"/>
      <x:c r="D14" s="96"/>
      <x:c r="E14" s="96"/>
      <x:c r="F14" s="96"/>
      <x:c r="G14" s="96"/>
    </x:row>
    <x:row r="15">
      <x:c r="A15" s="8" t="s">
        <x:v>35</x:v>
      </x:c>
      <x:c r="B15" s="21">
        <x:v>10</x:v>
      </x:c>
      <x:c r="C15" s="96"/>
      <x:c r="D15" s="96"/>
      <x:c r="E15" s="96"/>
      <x:c r="F15" s="96"/>
      <x:c r="G15" s="96"/>
    </x:row>
    <x:row r="16">
      <x:c r="A16" s="8" t="s">
        <x:v>31</x:v>
      </x:c>
      <x:c r="B16" s="21">
        <x:v>7</x:v>
      </x:c>
      <x:c r="C16" s="96"/>
      <x:c r="D16" s="96"/>
      <x:c r="E16" s="96"/>
      <x:c r="F16" s="96"/>
      <x:c r="G16" s="96"/>
    </x:row>
    <x:row r="17">
      <x:c r="A17" s="8" t="s">
        <x:v>34</x:v>
      </x:c>
      <x:c r="B17" s="21">
        <x:v>7</x:v>
      </x:c>
      <x:c r="C17" s="96"/>
      <x:c r="D17" s="96"/>
      <x:c r="E17" s="96"/>
      <x:c r="F17" s="96"/>
      <x:c r="G17" s="96"/>
    </x:row>
    <x:row r="18">
      <x:c r="A18" s="8" t="s">
        <x:v>29</x:v>
      </x:c>
      <x:c r="B18" s="21">
        <x:v>6</x:v>
      </x:c>
      <x:c r="C18" s="96"/>
      <x:c r="D18" s="96"/>
      <x:c r="E18" s="96"/>
      <x:c r="F18" s="96"/>
      <x:c r="G18" s="96"/>
    </x:row>
    <x:row r="19">
      <x:c r="A19" s="8" t="s">
        <x:v>36</x:v>
      </x:c>
      <x:c r="B19" s="21">
        <x:v>4</x:v>
      </x:c>
      <x:c r="C19" s="96"/>
      <x:c r="D19" s="96"/>
      <x:c r="E19" s="96"/>
      <x:c r="F19" s="96"/>
      <x:c r="G19" s="96"/>
    </x:row>
    <x:row r="20">
      <x:c r="A20" s="8" t="s">
        <x:v>38</x:v>
      </x:c>
      <x:c r="B20" s="21">
        <x:v>4</x:v>
      </x:c>
      <x:c r="C20" s="96"/>
      <x:c r="D20" s="96"/>
      <x:c r="E20" s="96"/>
      <x:c r="F20" s="96"/>
      <x:c r="G20" s="96"/>
    </x:row>
    <x:row r="21">
      <x:c r="A21" s="8" t="s">
        <x:v>33</x:v>
      </x:c>
      <x:c r="B21" s="21">
        <x:v>3</x:v>
      </x:c>
      <x:c r="C21" s="96"/>
      <x:c r="D21" s="96"/>
      <x:c r="E21" s="96"/>
      <x:c r="F21" s="96"/>
      <x:c r="G21" s="96"/>
    </x:row>
    <x:row r="22">
      <x:c r="A22" s="8" t="s">
        <x:v>32</x:v>
      </x:c>
      <x:c r="B22" s="21">
        <x:v>2</x:v>
      </x:c>
      <x:c r="C22" s="96"/>
      <x:c r="D22" s="96"/>
      <x:c r="E22" s="96"/>
      <x:c r="F22" s="96"/>
      <x:c r="G22" s="96"/>
    </x:row>
  </x:sheetData>
  <x:mergeCells>
    <x:mergeCell ref="A6:B6"/>
    <x:mergeCell ref="D6:G6"/>
  </x:mergeCells>
  <x:pageMargins left="0.7" right="0.7" top="0.75" bottom="0.75" header="0.3" footer="0.3"/>
  <x:tableParts count="3">
    <x:tablePart xmlns:r="http://schemas.openxmlformats.org/officeDocument/2006/relationships" r:id="R885f93674a6c4c99"/>
    <x:tablePart xmlns:r="http://schemas.openxmlformats.org/officeDocument/2006/relationships" r:id="Rf63bdcc673ec4bc8"/>
    <x:tablePart xmlns:r="http://schemas.openxmlformats.org/officeDocument/2006/relationships" r:id="R26abc8e7952b491d"/>
  </x:tableParts>
</x:worksheet>
</file>

<file path=xl/worksheets/sheet6.xml><?xml version="1.0" encoding="utf-8"?>
<x:worksheet xmlns:x="http://schemas.openxmlformats.org/spreadsheetml/2006/main">
  <x:sheetFormatPr baseColWidth="10" defaultRowHeight="16"/>
  <x:cols>
    <x:col min="1" max="1" width="45" hidden="0" customWidth="1"/>
    <x:col min="2" max="2" width="23" hidden="0" customWidth="1"/>
    <x:col min="3" max="3" width="22" hidden="0" customWidth="1"/>
    <x:col min="4" max="4" width="20" hidden="0" customWidth="1"/>
    <x:col min="5" max="5" width="22" hidden="0" customWidth="1"/>
  </x:cols>
  <x:sheetData>
    <x:row r="1" ht="32" customHeight="1">
      <x:c r="A1" s="15" t="s">
        <x:v>82</x:v>
      </x:c>
      <x:c r="B1" s="15" t="s">
        <x:v>83</x:v>
      </x:c>
      <x:c r="C1" s="96"/>
      <x:c r="D1" s="96"/>
      <x:c r="E1" s="96"/>
    </x:row>
    <x:row r="2">
      <x:c r="A2" s="8" t="s">
        <x:v>84</x:v>
      </x:c>
      <x:c r="B2" s="26">
        <x:v>0.61326055680479497</x:v>
      </x:c>
      <x:c r="C2" s="96"/>
      <x:c r="D2" s="96"/>
      <x:c r="E2" s="96"/>
    </x:row>
    <x:row r="3">
      <x:c r="A3" s="54" t="s">
        <x:v>85</x:v>
      </x:c>
      <x:c r="B3" s="56">
        <x:v>0.80810767069817402</x:v>
      </x:c>
      <x:c r="C3" s="96"/>
      <x:c r="D3" s="96"/>
      <x:c r="E3" s="96"/>
    </x:row>
    <x:row r="4">
      <x:c r="A4" s="96"/>
      <x:c r="B4" s="96"/>
      <x:c r="C4" s="96"/>
      <x:c r="D4" s="96"/>
      <x:c r="E4" s="96"/>
    </x:row>
    <x:row r="5">
      <x:c r="A5" s="100" t="str">
        <x:v>Scenario B sensitivity to remaining-group transfer</x:v>
      </x:c>
      <x:c r="B5" s="100"/>
      <x:c r="C5" s="100"/>
      <x:c r="D5" s="100"/>
      <x:c r="E5" s="100"/>
    </x:row>
    <x:row r="6">
      <x:c r="A6" s="96"/>
      <x:c r="B6" s="96"/>
      <x:c r="C6" s="96"/>
      <x:c r="D6" s="96"/>
      <x:c r="E6" s="96"/>
    </x:row>
    <x:row r="7">
      <x:c r="A7" s="96"/>
      <x:c r="B7" s="96"/>
      <x:c r="C7" s="96"/>
      <x:c r="D7" s="96"/>
      <x:c r="E7" s="96"/>
    </x:row>
    <x:row r="8">
      <x:c r="A8" s="15" t="s">
        <x:v>86</x:v>
      </x:c>
      <x:c r="B8" s="15" t="s">
        <x:v>78</x:v>
      </x:c>
      <x:c r="C8" s="15" t="s">
        <x:v>79</x:v>
      </x:c>
      <x:c r="D8" s="15" t="s">
        <x:v>87</x:v>
      </x:c>
      <x:c r="E8" s="15" t="s">
        <x:v>88</x:v>
      </x:c>
    </x:row>
    <x:row r="9">
      <x:c r="A9" s="116">
        <x:v>0</x:v>
      </x:c>
      <x:c r="B9" s="30">
        <x:v>49.412805877578201</x:v>
      </x:c>
      <x:c r="C9" s="122">
        <x:v>2094.9792228302899</x:v>
      </x:c>
      <x:c r="D9" s="30">
        <x:v>-13.587194122421799</x:v>
      </x:c>
      <x:c r="E9" s="132">
        <x:v>-677.02077716971098</x:v>
      </x:c>
    </x:row>
    <x:row r="10">
      <x:c r="A10" s="116">
        <x:v>0.1</x:v>
      </x:c>
      <x:c r="B10" s="30">
        <x:v>51.628372160401597</x:v>
      </x:c>
      <x:c r="C10" s="122">
        <x:v>2178.7577589979701</x:v>
      </x:c>
      <x:c r="D10" s="30">
        <x:v>-11.3716278395984</x:v>
      </x:c>
      <x:c r="E10" s="132">
        <x:v>-593.24224100202605</x:v>
      </x:c>
    </x:row>
    <x:row r="11">
      <x:c r="A11" s="116">
        <x:v>0.2</x:v>
      </x:c>
      <x:c r="B11" s="30">
        <x:v>53.8439384432249</x:v>
      </x:c>
      <x:c r="C11" s="122">
        <x:v>2262.5362951656598</x:v>
      </x:c>
      <x:c r="D11" s="30">
        <x:v>-9.1560615567750805</x:v>
      </x:c>
      <x:c r="E11" s="132">
        <x:v>-509.46370483433998</x:v>
      </x:c>
    </x:row>
    <x:row r="12">
      <x:c r="A12" s="116">
        <x:v>0.3</x:v>
      </x:c>
      <x:c r="B12" s="30">
        <x:v>56.059504726048303</x:v>
      </x:c>
      <x:c r="C12" s="122">
        <x:v>2346.31483133335</x:v>
      </x:c>
      <x:c r="D12" s="30">
        <x:v>-6.94049527395173</x:v>
      </x:c>
      <x:c r="E12" s="132">
        <x:v>-425.68516866665499</x:v>
      </x:c>
    </x:row>
    <x:row r="13">
      <x:c r="A13" s="116">
        <x:v>0.4</x:v>
      </x:c>
      <x:c r="B13" s="30">
        <x:v>58.275071008871599</x:v>
      </x:c>
      <x:c r="C13" s="122">
        <x:v>2430.0933675010301</x:v>
      </x:c>
      <x:c r="D13" s="30">
        <x:v>-4.7249289911283698</x:v>
      </x:c>
      <x:c r="E13" s="132">
        <x:v>-341.90663249896897</x:v>
      </x:c>
    </x:row>
    <x:row r="14">
      <x:c r="A14" s="116">
        <x:v>0.5</x:v>
      </x:c>
      <x:c r="B14" s="30">
        <x:v>60.490637291695002</x:v>
      </x:c>
      <x:c r="C14" s="122">
        <x:v>2513.8719036687198</x:v>
      </x:c>
      <x:c r="D14" s="30">
        <x:v>-2.5093627083050198</x:v>
      </x:c>
      <x:c r="E14" s="132">
        <x:v>-258.12809633128302</x:v>
      </x:c>
    </x:row>
    <x:row r="15">
      <x:c r="A15" s="116">
        <x:v>0.6</x:v>
      </x:c>
      <x:c r="B15" s="30">
        <x:v>62.706203574518298</x:v>
      </x:c>
      <x:c r="C15" s="122">
        <x:v>2597.6504398364</x:v>
      </x:c>
      <x:c r="D15" s="30">
        <x:v>-0.29379642548166601</x:v>
      </x:c>
      <x:c r="E15" s="132">
        <x:v>-174.349560163597</x:v>
      </x:c>
    </x:row>
    <x:row r="16">
      <x:c r="A16" s="116">
        <x:v>0.7</x:v>
      </x:c>
      <x:c r="B16" s="30">
        <x:v>64.921769857341701</x:v>
      </x:c>
      <x:c r="C16" s="122">
        <x:v>2681.4289760040901</x:v>
      </x:c>
      <x:c r="D16" s="30">
        <x:v>1.9217698573416899</x:v>
      </x:c>
      <x:c r="E16" s="132">
        <x:v>-90.571023995911702</x:v>
      </x:c>
    </x:row>
    <x:row r="17">
      <x:c r="A17" s="116">
        <x:v>0.8</x:v>
      </x:c>
      <x:c r="B17" s="30">
        <x:v>67.137336140165004</x:v>
      </x:c>
      <x:c r="C17" s="122">
        <x:v>2765.2075121717698</x:v>
      </x:c>
      <x:c r="D17" s="30">
        <x:v>4.1373361401650302</x:v>
      </x:c>
      <x:c r="E17" s="132">
        <x:v>-6.7924878282260597</x:v>
      </x:c>
    </x:row>
    <x:row r="18">
      <x:c r="A18" s="116">
        <x:v>0.9</x:v>
      </x:c>
      <x:c r="B18" s="30">
        <x:v>69.352902422988393</x:v>
      </x:c>
      <x:c r="C18" s="122">
        <x:v>2848.98604833946</x:v>
      </x:c>
      <x:c r="D18" s="30">
        <x:v>6.3529024229883904</x:v>
      </x:c>
      <x:c r="E18" s="132">
        <x:v>76.9860483394596</x:v>
      </x:c>
    </x:row>
    <x:row r="19">
      <x:c r="A19" s="116">
        <x:v>1</x:v>
      </x:c>
      <x:c r="B19" s="30">
        <x:v>71.568468705811696</x:v>
      </x:c>
      <x:c r="C19" s="122">
        <x:v>2932.7645845071502</x:v>
      </x:c>
      <x:c r="D19" s="30">
        <x:v>8.5684687058117408</x:v>
      </x:c>
      <x:c r="E19" s="132">
        <x:v>160.764584507145</x:v>
      </x:c>
    </x:row>
  </x:sheetData>
  <x:mergeCells>
    <x:mergeCell ref="A5:E5"/>
  </x:mergeCells>
  <x:conditionalFormatting sqref="D9:D19">
    <x:cfRule type="expression" dxfId="67" priority="1">
      <x:formula>D9&lt;0</x:formula>
    </x:cfRule>
    <x:cfRule type="expression" dxfId="68" priority="2">
      <x:formula>D9&gt;0</x:formula>
    </x:cfRule>
  </x:conditionalFormatting>
  <x:conditionalFormatting sqref="E9:E19">
    <x:cfRule type="expression" dxfId="69" priority="3">
      <x:formula>E9&lt;0</x:formula>
    </x:cfRule>
    <x:cfRule type="expression" dxfId="70" priority="4">
      <x:formula>E9&gt;0</x:formula>
    </x:cfRule>
  </x:conditionalFormatting>
  <x:pageMargins left="0.7" right="0.7" top="0.75" bottom="0.75" header="0.3" footer="0.3"/>
  <x:tableParts count="2">
    <x:tablePart xmlns:r="http://schemas.openxmlformats.org/officeDocument/2006/relationships" r:id="R2c2e7e0b99bf40ca"/>
    <x:tablePart xmlns:r="http://schemas.openxmlformats.org/officeDocument/2006/relationships" r:id="R13aa28b5d3c74eb0"/>
  </x:tableParts>
</x:worksheet>
</file>

<file path=xl/worksheets/sheet7.xml><?xml version="1.0" encoding="utf-8"?>
<x:worksheet xmlns:x="http://schemas.openxmlformats.org/spreadsheetml/2006/main">
  <x:sheetFormatPr baseColWidth="10" defaultRowHeight="16"/>
  <x:cols>
    <x:col min="1" max="1" width="18" hidden="0" customWidth="1"/>
    <x:col min="2" max="2" width="18" hidden="0" customWidth="1"/>
    <x:col min="3" max="3" width="17" hidden="0" customWidth="1"/>
    <x:col min="4" max="4" width="17" hidden="0" customWidth="1"/>
    <x:col min="5" max="5" width="17" hidden="0" customWidth="1"/>
    <x:col min="6" max="6" width="17" hidden="0" customWidth="1"/>
    <x:col min="7" max="7" width="18" hidden="0" customWidth="1"/>
    <x:col min="8" max="8" width="18" hidden="0" customWidth="1"/>
  </x:cols>
  <x:sheetData>
    <x:row r="1" ht="28" customHeight="1">
      <x:c r="A1" s="251" t="str">
        <x:v>Analysis Approach &amp; Assumptions</x:v>
      </x:c>
      <x:c r="B1" s="251"/>
      <x:c r="C1" s="251"/>
      <x:c r="D1" s="251"/>
      <x:c r="E1" s="251"/>
      <x:c r="F1" s="251"/>
      <x:c r="G1" s="251"/>
      <x:c r="H1" s="251"/>
    </x:row>
    <x:row r="2" ht="28" customHeight="1">
      <x:c r="A2" s="251"/>
      <x:c r="B2" s="251"/>
      <x:c r="C2" s="251"/>
      <x:c r="D2" s="251"/>
      <x:c r="E2" s="251"/>
      <x:c r="F2" s="251"/>
      <x:c r="G2" s="251"/>
      <x:c r="H2" s="251"/>
    </x:row>
    <x:row r="3">
      <x:c r="A3" s="141" t="str">
        <x:v>Supporting methodology for assessing whether any individual card is harming overall panel performance</x:v>
      </x:c>
      <x:c r="B3" s="141"/>
      <x:c r="C3" s="141"/>
      <x:c r="D3" s="141"/>
      <x:c r="E3" s="141"/>
      <x:c r="F3" s="141"/>
      <x:c r="G3" s="141"/>
      <x:c r="H3" s="141"/>
    </x:row>
    <x:row r="5">
      <x:c r="A5" s="254" t="str">
        <x:v>1. Business question</x:v>
      </x:c>
      <x:c r="B5" s="254"/>
      <x:c r="C5" s="254"/>
      <x:c r="D5" s="254"/>
      <x:c r="E5" s="254"/>
      <x:c r="F5" s="254"/>
      <x:c r="G5" s="254"/>
      <x:c r="H5" s="254"/>
    </x:row>
    <x:row r="6" ht="24" customHeight="1">
      <x:c r="A6" s="256" t="str">
        <x:v>Would overall credit card marketplace performance be better if a particular card were removed from the panel?
Cards were assessed on both customer engagement and downstream commercial performance. A card was considered potentially harmful where it attracts meaningful traffic but monetises that traffic materially worse than realistic alternatives.</x:v>
      </x:c>
      <x:c r="B6" s="256"/>
      <x:c r="C6" s="256"/>
      <x:c r="D6" s="256"/>
      <x:c r="E6" s="256"/>
      <x:c r="F6" s="256"/>
      <x:c r="G6" s="256"/>
      <x:c r="H6" s="256"/>
    </x:row>
    <x:row r="7" ht="24" customHeight="1">
      <x:c r="A7" s="256"/>
      <x:c r="B7" s="256"/>
      <x:c r="C7" s="256"/>
      <x:c r="D7" s="256"/>
      <x:c r="E7" s="256"/>
      <x:c r="F7" s="256"/>
      <x:c r="G7" s="256"/>
      <x:c r="H7" s="256"/>
    </x:row>
    <x:row r="8" ht="24" customHeight="1">
      <x:c r="A8" s="256"/>
      <x:c r="B8" s="256"/>
      <x:c r="C8" s="256"/>
      <x:c r="D8" s="256"/>
      <x:c r="E8" s="256"/>
      <x:c r="F8" s="256"/>
      <x:c r="G8" s="256"/>
      <x:c r="H8" s="256"/>
    </x:row>
    <x:row r="10">
      <x:c r="A10" s="254" t="str">
        <x:v>2. Data and unit of analysis</x:v>
      </x:c>
      <x:c r="B10" s="254"/>
      <x:c r="C10" s="254"/>
      <x:c r="D10" s="254"/>
      <x:c r="E10" s="254"/>
      <x:c r="F10" s="254"/>
      <x:c r="G10" s="254"/>
      <x:c r="H10" s="254"/>
    </x:row>
    <x:row r="11" ht="22" customHeight="1">
      <x:c r="A11" s="256" t="str">
        <x:v>Quote data: applicant-card level offers, including click behaviour, APR, likelihood and panel rankings.
Sales data: card-level post-click sales and revenue for the same applicants and time period.
Analysis levels: panel baseline, card-level performance and same-application competitive context.</x:v>
      </x:c>
      <x:c r="B11" s="256"/>
      <x:c r="C11" s="256"/>
      <x:c r="D11" s="256"/>
      <x:c r="E11" s="256"/>
      <x:c r="F11" s="256"/>
      <x:c r="G11" s="256"/>
      <x:c r="H11" s="256"/>
    </x:row>
    <x:row r="12" ht="22" customHeight="1">
      <x:c r="A12" s="256"/>
      <x:c r="B12" s="256"/>
      <x:c r="C12" s="256"/>
      <x:c r="D12" s="256"/>
      <x:c r="E12" s="256"/>
      <x:c r="F12" s="256"/>
      <x:c r="G12" s="256"/>
      <x:c r="H12" s="256"/>
    </x:row>
    <x:row r="13" ht="22" customHeight="1">
      <x:c r="A13" s="256"/>
      <x:c r="B13" s="256"/>
      <x:c r="C13" s="256"/>
      <x:c r="D13" s="256"/>
      <x:c r="E13" s="256"/>
      <x:c r="F13" s="256"/>
      <x:c r="G13" s="256"/>
      <x:c r="H13" s="256"/>
    </x:row>
    <x:row r="14" ht="24" customHeight="1">
      <x:c r="A14" s="260" t="str">
        <x:v>Key limitation
Post-click sales are available only in aggregate by card rather than at applicant level. Therefore, customer behaviour and downstream conversion after the hypothetical removal of a card cannot be observed directly.</x:v>
      </x:c>
      <x:c r="B14" s="260"/>
      <x:c r="C14" s="260"/>
      <x:c r="D14" s="260"/>
      <x:c r="E14" s="260"/>
      <x:c r="F14" s="260"/>
      <x:c r="G14" s="260"/>
      <x:c r="H14" s="260"/>
    </x:row>
    <x:row r="15" ht="24" customHeight="1">
      <x:c r="A15" s="260"/>
      <x:c r="B15" s="260"/>
      <x:c r="C15" s="260"/>
      <x:c r="D15" s="260"/>
      <x:c r="E15" s="260"/>
      <x:c r="F15" s="260"/>
      <x:c r="G15" s="260"/>
      <x:c r="H15" s="260"/>
    </x:row>
    <x:row r="16" ht="24" customHeight="1">
      <x:c r="A16" s="260"/>
      <x:c r="B16" s="260"/>
      <x:c r="C16" s="260"/>
      <x:c r="D16" s="260"/>
      <x:c r="E16" s="260"/>
      <x:c r="F16" s="260"/>
      <x:c r="G16" s="260"/>
      <x:c r="H16" s="260"/>
    </x:row>
    <x:row r="18">
      <x:c r="A18" s="254" t="str">
        <x:v>3. Analytical approach</x:v>
      </x:c>
      <x:c r="B18" s="254"/>
      <x:c r="C18" s="254"/>
      <x:c r="D18" s="254"/>
      <x:c r="E18" s="254"/>
      <x:c r="F18" s="254"/>
      <x:c r="G18" s="254"/>
      <x:c r="H18" s="254"/>
    </x:row>
    <x:row r="19">
      <x:c r="A19" s="264" t="str">
        <x:v>Step</x:v>
      </x:c>
      <x:c r="B19" s="264"/>
      <x:c r="C19" s="264" t="str">
        <x:v>Purpose</x:v>
      </x:c>
      <x:c r="D19" s="264"/>
      <x:c r="E19" s="264"/>
      <x:c r="F19" s="264"/>
      <x:c r="G19" s="264"/>
      <x:c r="H19" s="264"/>
    </x:row>
    <x:row r="20" ht="30" customHeight="1">
      <x:c r="A20" s="269" t="str">
        <x:v>1. Validate baseline</x:v>
      </x:c>
      <x:c r="B20" s="269"/>
      <x:c r="C20" s="268" t="str">
        <x:v>Check record structure, uniqueness, missingness, card coverage and ranking definitions; establish panel clickout, conversion and revenue metrics.</x:v>
      </x:c>
      <x:c r="D20" s="268"/>
      <x:c r="E20" s="268"/>
      <x:c r="F20" s="268"/>
      <x:c r="G20" s="268"/>
      <x:c r="H20" s="268"/>
    </x:row>
    <x:row r="21" ht="30" customHeight="1">
      <x:c r="A21" s="274" t="str">
        <x:v>2. Screen cards</x:v>
      </x:c>
      <x:c r="B21" s="274"/>
      <x:c r="C21" s="273" t="str">
        <x:v>Compare offer volume, clicks, click-through rate, click-to-sale conversion, revenue, revenue per click and revenue per offer across all 34 cards.</x:v>
      </x:c>
      <x:c r="D21" s="273"/>
      <x:c r="E21" s="273"/>
      <x:c r="F21" s="273"/>
      <x:c r="G21" s="273"/>
      <x:c r="H21" s="273"/>
    </x:row>
    <x:row r="22" ht="30" customHeight="1">
      <x:c r="A22" s="269" t="str">
        <x:v>3. Investigate context</x:v>
      </x:c>
      <x:c r="B22" s="269"/>
      <x:c r="C22" s="268" t="str">
        <x:v>For the strongest candidate, compare performance against cards shown within the same applications to assess whether it may divert clicks from stronger alternatives.</x:v>
      </x:c>
      <x:c r="D22" s="268"/>
      <x:c r="E22" s="268"/>
      <x:c r="F22" s="268"/>
      <x:c r="G22" s="268"/>
      <x:c r="H22" s="268"/>
    </x:row>
    <x:row r="23" ht="30" customHeight="1">
      <x:c r="A23" s="274" t="str">
        <x:v>4. Test robustness</x:v>
      </x:c>
      <x:c r="B23" s="274"/>
      <x:c r="C23" s="273" t="str">
        <x:v>Examine downstream conversion uncertainty and same-application behaviour rather than relying on raw conversion rates alone.</x:v>
      </x:c>
      <x:c r="D23" s="273"/>
      <x:c r="E23" s="273"/>
      <x:c r="F23" s="273"/>
      <x:c r="G23" s="273"/>
      <x:c r="H23" s="273"/>
    </x:row>
    <x:row r="24" ht="30" customHeight="1">
      <x:c r="A24" s="269" t="str">
        <x:v>5. Model removal</x:v>
      </x:c>
      <x:c r="B24" s="269"/>
      <x:c r="C24" s="268" t="str">
        <x:v>Estimate panel performance without the candidate card under multiple redistribution assumptions because the true counterfactual is unobserved.</x:v>
      </x:c>
      <x:c r="D24" s="268"/>
      <x:c r="E24" s="268"/>
      <x:c r="F24" s="268"/>
      <x:c r="G24" s="268"/>
      <x:c r="H24" s="268"/>
    </x:row>
    <x:row r="26">
      <x:c r="A26" s="254" t="str">
        <x:v>4. Counterfactual scenarios</x:v>
      </x:c>
      <x:c r="B26" s="254"/>
      <x:c r="C26" s="254"/>
      <x:c r="D26" s="254"/>
      <x:c r="E26" s="254"/>
      <x:c r="F26" s="254"/>
      <x:c r="G26" s="254"/>
      <x:c r="H26" s="254"/>
    </x:row>
    <x:row r="27">
      <x:c r="A27" s="264" t="str">
        <x:v>Scenario</x:v>
      </x:c>
      <x:c r="B27" s="264"/>
      <x:c r="C27" s="264" t="str">
        <x:v>Assumption</x:v>
      </x:c>
      <x:c r="D27" s="264"/>
      <x:c r="E27" s="264"/>
      <x:c r="F27" s="264"/>
      <x:c r="G27" s="264" t="str">
        <x:v>Role</x:v>
      </x:c>
      <x:c r="H27" s="264"/>
    </x:row>
    <x:row r="28" ht="34" customHeight="1">
      <x:c r="A28" s="269" t="str">
        <x:v>A — strongest visible alternative</x:v>
      </x:c>
      <x:c r="B28" s="269"/>
      <x:c r="C28" s="268" t="str">
        <x:v>Card 29 clickers with another offer transfer to the strongest remaining offer, prioritising likelihood rank, then APR.</x:v>
      </x:c>
      <x:c r="D28" s="268"/>
      <x:c r="E28" s="268"/>
      <x:c r="F28" s="268"/>
      <x:c r="G28" s="268" t="str">
        <x:v>Structured / optimistic replacement case</x:v>
      </x:c>
      <x:c r="H28" s="268"/>
    </x:row>
    <x:row r="29" ht="42" customHeight="1">
      <x:c r="A29" s="279" t="str">
        <x:v>B — empirically anchored redistribution</x:v>
      </x:c>
      <x:c r="B29" s="279"/>
      <x:c r="C29" s="278" t="str">
        <x:v>For the major Card 30 + Card 31 choice set, redistribution uses observed behaviour from comparable applications where Card 29 was absent; other eligible users retain the Scenario A replacement rule.</x:v>
      </x:c>
      <x:c r="D29" s="278"/>
      <x:c r="E29" s="278"/>
      <x:c r="F29" s="278"/>
      <x:c r="G29" s="278" t="str">
        <x:v>More conservative behavioural estimate</x:v>
      </x:c>
      <x:c r="H29" s="278"/>
    </x:row>
    <x:row r="30" ht="34" customHeight="1">
      <x:c r="A30" s="269" t="str">
        <x:v>Sensitivity</x:v>
      </x:c>
      <x:c r="B30" s="269"/>
      <x:c r="C30" s="268" t="str">
        <x:v>Vary the transfer rate among the remaining eligible users from 0% to 100%.</x:v>
      </x:c>
      <x:c r="D30" s="268"/>
      <x:c r="E30" s="268"/>
      <x:c r="F30" s="268"/>
      <x:c r="G30" s="268" t="str">
        <x:v>Tests dependence on unobserved behaviour</x:v>
      </x:c>
      <x:c r="H30" s="268"/>
    </x:row>
    <x:row r="32" ht="24" customHeight="1">
      <x:c r="A32" s="283" t="str">
        <x:v>Scenario outputs are modelled counterfactuals rather than causal estimates. Differences between scenarios reflect uncertainty around how customers would redistribute if Card 29 were removed.</x:v>
      </x:c>
      <x:c r="B32" s="283"/>
      <x:c r="C32" s="283"/>
      <x:c r="D32" s="283"/>
      <x:c r="E32" s="283"/>
      <x:c r="F32" s="283"/>
      <x:c r="G32" s="283"/>
      <x:c r="H32" s="283"/>
    </x:row>
    <x:row r="33" ht="24" customHeight="1">
      <x:c r="A33" s="283"/>
      <x:c r="B33" s="283"/>
      <x:c r="C33" s="283"/>
      <x:c r="D33" s="283"/>
      <x:c r="E33" s="283"/>
      <x:c r="F33" s="283"/>
      <x:c r="G33" s="283"/>
      <x:c r="H33" s="283"/>
    </x:row>
    <x:row r="35">
      <x:c r="A35" s="254" t="str">
        <x:v>5. Decision framework</x:v>
      </x:c>
      <x:c r="B35" s="254"/>
      <x:c r="C35" s="254"/>
      <x:c r="D35" s="254"/>
      <x:c r="E35" s="254"/>
      <x:c r="F35" s="254"/>
      <x:c r="G35" s="254"/>
      <x:c r="H35" s="254"/>
    </x:row>
    <x:row r="36" ht="24" customHeight="1">
      <x:c r="A36" s="256" t="str">
        <x:v>Card 29 was identified as the strongest intervention candidate because it combines very high click volume with materially weak downstream monetisation.
However, estimated panel improvement changes materially under different redistribution assumptions. The observational evidence therefore supports testing Card 29 rather than recommending immediate permanent removal.</x:v>
      </x:c>
      <x:c r="B36" s="256"/>
      <x:c r="C36" s="256"/>
      <x:c r="D36" s="256"/>
      <x:c r="E36" s="256"/>
      <x:c r="F36" s="256"/>
      <x:c r="G36" s="256"/>
      <x:c r="H36" s="256"/>
    </x:row>
    <x:row r="37" ht="24" customHeight="1">
      <x:c r="A37" s="256"/>
      <x:c r="B37" s="256"/>
      <x:c r="C37" s="256"/>
      <x:c r="D37" s="256"/>
      <x:c r="E37" s="256"/>
      <x:c r="F37" s="256"/>
      <x:c r="G37" s="256"/>
      <x:c r="H37" s="256"/>
    </x:row>
    <x:row r="38" ht="24" customHeight="1">
      <x:c r="A38" s="256"/>
      <x:c r="B38" s="256"/>
      <x:c r="C38" s="256"/>
      <x:c r="D38" s="256"/>
      <x:c r="E38" s="256"/>
      <x:c r="F38" s="256"/>
      <x:c r="G38" s="256"/>
      <x:c r="H38" s="256"/>
    </x:row>
    <x:row r="40" ht="26" customHeight="1">
      <x:c r="A40" s="286" t="str">
        <x:v>Recommended validation
Run a controlled removal or deprioritisation experiment for Card 29. Use revenue per application as the primary outcome, with sales per application, application clickout, click-to-sale conversion and click redistribution as secondary diagnostics.</x:v>
      </x:c>
      <x:c r="B40" s="286"/>
      <x:c r="C40" s="286"/>
      <x:c r="D40" s="286"/>
      <x:c r="E40" s="286"/>
      <x:c r="F40" s="286"/>
      <x:c r="G40" s="286"/>
      <x:c r="H40" s="286"/>
    </x:row>
    <x:row r="41" ht="26" customHeight="1">
      <x:c r="A41" s="286"/>
      <x:c r="B41" s="286"/>
      <x:c r="C41" s="286"/>
      <x:c r="D41" s="286"/>
      <x:c r="E41" s="286"/>
      <x:c r="F41" s="286"/>
      <x:c r="G41" s="286"/>
      <x:c r="H41" s="286"/>
    </x:row>
    <x:row r="42" ht="26" customHeight="1">
      <x:c r="A42" s="286"/>
      <x:c r="B42" s="286"/>
      <x:c r="C42" s="286"/>
      <x:c r="D42" s="286"/>
      <x:c r="E42" s="286"/>
      <x:c r="F42" s="286"/>
      <x:c r="G42" s="286"/>
      <x:c r="H42" s="286"/>
    </x:row>
    <x:row r="43" ht="26" customHeight="1">
      <x:c r="A43" s="286"/>
      <x:c r="B43" s="286"/>
      <x:c r="C43" s="286"/>
      <x:c r="D43" s="286"/>
      <x:c r="E43" s="286"/>
      <x:c r="F43" s="286"/>
      <x:c r="G43" s="286"/>
      <x:c r="H43" s="286"/>
    </x:row>
    <x:row r="45">
      <x:c r="A45" s="209" t="str">
        <x:v>Methodology reflects the supplied observational data; permanent removal should be supported by experimental evidence.</x:v>
      </x:c>
      <x:c r="B45" s="209"/>
      <x:c r="C45" s="209"/>
      <x:c r="D45" s="209"/>
      <x:c r="E45" s="209"/>
      <x:c r="F45" s="209"/>
      <x:c r="G45" s="209"/>
      <x:c r="H45" s="209"/>
    </x:row>
  </x:sheetData>
  <x:mergeCells>
    <x:mergeCell ref="A1:H2"/>
    <x:mergeCell ref="A3:H3"/>
    <x:mergeCell ref="A5:H5"/>
    <x:mergeCell ref="A6:H8"/>
    <x:mergeCell ref="A10:H10"/>
    <x:mergeCell ref="A11:H13"/>
    <x:mergeCell ref="A14:H16"/>
    <x:mergeCell ref="A18:H18"/>
    <x:mergeCell ref="A19:B19"/>
    <x:mergeCell ref="C19:H19"/>
    <x:mergeCell ref="A20:B20"/>
    <x:mergeCell ref="C20:H20"/>
    <x:mergeCell ref="A21:B21"/>
    <x:mergeCell ref="C21:H21"/>
    <x:mergeCell ref="A22:B22"/>
    <x:mergeCell ref="C22:H22"/>
    <x:mergeCell ref="A23:B23"/>
    <x:mergeCell ref="C23:H23"/>
    <x:mergeCell ref="A24:B24"/>
    <x:mergeCell ref="C24:H24"/>
    <x:mergeCell ref="A26:H26"/>
    <x:mergeCell ref="A27:B27"/>
    <x:mergeCell ref="C27:F27"/>
    <x:mergeCell ref="G27:H27"/>
    <x:mergeCell ref="A28:B28"/>
    <x:mergeCell ref="C28:F28"/>
    <x:mergeCell ref="G28:H28"/>
    <x:mergeCell ref="A29:B29"/>
    <x:mergeCell ref="C29:F29"/>
    <x:mergeCell ref="G29:H29"/>
    <x:mergeCell ref="A30:B30"/>
    <x:mergeCell ref="C30:F30"/>
    <x:mergeCell ref="G30:H30"/>
    <x:mergeCell ref="A32:H33"/>
    <x:mergeCell ref="A35:H35"/>
    <x:mergeCell ref="A36:H38"/>
    <x:mergeCell ref="A40:H43"/>
    <x:mergeCell ref="A45:H45"/>
  </x:mergeCells>
  <x:pageMargins left="0.7" right="0.7" top="0.75" bottom="0.75" header="0.3" footer="0.3"/>
</x:worksheet>
</file>